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 state="visible" name="Mapa" sheetId="2" r:id="rId6"/>
    <sheet state="visible" name="Calculos" sheetId="3" r:id="rId7"/>
    <sheet state="visible" name="Analisis" sheetId="4" r:id="rId8"/>
    <sheet state="visible" name="Graficos" sheetId="5" r:id="rId9"/>
  </sheets>
  <definedNames/>
  <calcPr/>
</workbook>
</file>

<file path=xl/sharedStrings.xml><?xml version="1.0" encoding="utf-8"?>
<sst xmlns="http://schemas.openxmlformats.org/spreadsheetml/2006/main" count="4280" uniqueCount="270">
  <si>
    <t>Rango</t>
  </si>
  <si>
    <t>Estimado (P5)</t>
  </si>
  <si>
    <t>Punto medio ($)</t>
  </si>
  <si>
    <t>ANÁLISIS DE LA ENCUESTA</t>
  </si>
  <si>
    <t>Esta hoja convierte cada rango en un número para poder promediar. Si cambias los rangos del formulario, actualízalos también acá.</t>
  </si>
  <si>
    <t>Real (P8)</t>
  </si>
  <si>
    <t>Diferencia (real - estimado)</t>
  </si>
  <si>
    <t>Menos de $10.000</t>
  </si>
  <si>
    <t>Estimado (solo pares)</t>
  </si>
  <si>
    <t>Real (solo pares)</t>
  </si>
  <si>
    <t>Respuestas totales (n)</t>
  </si>
  <si>
    <t>Entre $10.000 y $20.000</t>
  </si>
  <si>
    <t>Entre $20.000 y $35.000</t>
  </si>
  <si>
    <t>Entre $35.000 y $50.000</t>
  </si>
  <si>
    <t>Entre $50.000 y $80.000</t>
  </si>
  <si>
    <t>Más de $80.000</t>
  </si>
  <si>
    <t>Con al menos una suscripción</t>
  </si>
  <si>
    <t>★ HALLAZGO PRINCIPAL — ¿la gente sabe cuánto gasta?</t>
  </si>
  <si>
    <t>Respondieron ambas preguntas (P5 y P8)</t>
  </si>
  <si>
    <t>Gasto promedio ESTIMADO (solo pares)</t>
  </si>
  <si>
    <t>Gasto promedio REAL (solo pares)</t>
  </si>
  <si>
    <t>Mediana estimada (solo pares)</t>
  </si>
  <si>
    <t>Mediana real (solo pares)</t>
  </si>
  <si>
    <t>Diferencia promedio (real - estimado)</t>
  </si>
  <si>
    <t>% de subestimación promedio</t>
  </si>
  <si>
    <t>Personas que SUBESTIMARON su gasto</t>
  </si>
  <si>
    <t>Marca temporal</t>
  </si>
  <si>
    <t>Personas que acertaron el rango</t>
  </si>
  <si>
    <t>Personas que sobrestimaron</t>
  </si>
  <si>
    <t>% que subestima su gasto real</t>
  </si>
  <si>
    <t>¿Pagas actualmente al menos una suscripción mensual o anual?</t>
  </si>
  <si>
    <t>P2. ¿Cuántas suscripciones de pago tienes actualmente?</t>
  </si>
  <si>
    <t>P3. ¿Cuáles tienes? (marca todas las que correspondan)</t>
  </si>
  <si>
    <t>Frase lista para el informe: "El X% de los encuestados subestima su gasto real en suscripciones, con una diferencia promedio de $Y mensuales."</t>
  </si>
  <si>
    <t>P4. ¿Cómo las pagas principalmente?</t>
  </si>
  <si>
    <t>FRECUENCIAS POR PREGUNTA</t>
  </si>
  <si>
    <t>P5. Sin revisar tu banco ni tus apps, ¿cuánto crees que gastas al mes en total en suscripciones?</t>
  </si>
  <si>
    <t>P6. ¿Qué tan seguro estás de esa cifra?</t>
  </si>
  <si>
    <t>P1. ¿Paga alguna suscripción?</t>
  </si>
  <si>
    <t>P7. ¿Alguna vez has sumado de verdad cuánto gastas al mes en suscripciones?</t>
  </si>
  <si>
    <t>Opción</t>
  </si>
  <si>
    <t>P8. Ahora sí: tómate un minuto, revisa tu banco o tus apps y dinos el total REAL.</t>
  </si>
  <si>
    <t>Respuestas</t>
  </si>
  <si>
    <t>%</t>
  </si>
  <si>
    <t>Sí</t>
  </si>
  <si>
    <t>P9. ¿Has pagado alguna vez por una suscripción que no estabas usando?</t>
  </si>
  <si>
    <t>P10. Si te pasó, ¿cuánto tiempo seguiste pagando sin usarla?</t>
  </si>
  <si>
    <t>P11. De las suscripciones que tienes hoy, ¿cuántas sientes que no valen lo que pagas?</t>
  </si>
  <si>
    <t>P12. La suscripción que MENOS usas, ¿cuándo la usaste por última vez?</t>
  </si>
  <si>
    <t>P13. ¿Te ha pasado que terminó una prueba gratis y te cobraron sin darte cuenta?</t>
  </si>
  <si>
    <t>P14. ¿Has dejado de usar algo pero seguiste pagando por flojera o por no saber cómo cancelarlo?</t>
  </si>
  <si>
    <t>P15. Cuando has querido cancelar una suscripción, ¿qué tan difícil te ha resultado?</t>
  </si>
  <si>
    <t>No</t>
  </si>
  <si>
    <t>P16. ¿Compartes alguna suscripción con familia o amigos?</t>
  </si>
  <si>
    <t>P17. Si compartes, ¿has tenido problemas para cobrar o para llevar la cuenta de quién paga qué?</t>
  </si>
  <si>
    <t>Total</t>
  </si>
  <si>
    <t>P18. ¿Qué haces hoy para llevar el control de tus suscripciones?</t>
  </si>
  <si>
    <t>P19. ¿Qué te ayudaría más? (elige máximo 2)</t>
  </si>
  <si>
    <t>P20. Si una app te ahorrara $15.000 al mes, ¿cuánto estarías dispuesto a pagar por ella?</t>
  </si>
  <si>
    <t>P21. ¿En qué dispositivos la usarías?</t>
  </si>
  <si>
    <t>P2. ¿Cuántas suscripciones tiene?</t>
  </si>
  <si>
    <t>P22. ¿Cuál es tu edad?</t>
  </si>
  <si>
    <t>P23. ¿Cuál es tu situación actual?</t>
  </si>
  <si>
    <t>1 o 2</t>
  </si>
  <si>
    <t>P24. ¿Algo más que quieras contarnos sobre tus suscripciones?</t>
  </si>
  <si>
    <t>P25. Si te gustaría probar la app cuando esté lista, déjanos tu correo</t>
  </si>
  <si>
    <t>3 o 4</t>
  </si>
  <si>
    <t>5 o 6</t>
  </si>
  <si>
    <t>7 a 9</t>
  </si>
  <si>
    <t>Netflix, Disney+, YouTube Premium, iCloud o Google One, ChatGPT u otra IA, Gimnasio</t>
  </si>
  <si>
    <t>10 o más</t>
  </si>
  <si>
    <t>Algunas las comparto con familia o amigos</t>
  </si>
  <si>
    <t>Nunca lo he hecho</t>
  </si>
  <si>
    <t>P3. Qué servicios tiene (respuesta múltiple)</t>
  </si>
  <si>
    <t>Netflix</t>
  </si>
  <si>
    <t>Sí, varias veces</t>
  </si>
  <si>
    <t>Entre 1 y 3 meses</t>
  </si>
  <si>
    <t>Este mes</t>
  </si>
  <si>
    <t>Sí, más de una vez</t>
  </si>
  <si>
    <t>Spotify</t>
  </si>
  <si>
    <t>No comparto ninguna</t>
  </si>
  <si>
    <t>Nada, no llevo control</t>
  </si>
  <si>
    <t>Disney+</t>
  </si>
  <si>
    <t>Ver el total que gasto al mes, Que me avise antes de cada cobro, Que me avise antes de que termine una prueba gratis</t>
  </si>
  <si>
    <t>Entre $1.000 y $3.000 al mes</t>
  </si>
  <si>
    <t>HBO Max</t>
  </si>
  <si>
    <t>Celular</t>
  </si>
  <si>
    <t>Prime Video</t>
  </si>
  <si>
    <t>18 a 24</t>
  </si>
  <si>
    <t>Estudio y trabajo</t>
  </si>
  <si>
    <t>YouTube Premium</t>
  </si>
  <si>
    <t>iCloud o Google One</t>
  </si>
  <si>
    <t>ChatGPT u otra IA</t>
  </si>
  <si>
    <t>Gimnasio</t>
  </si>
  <si>
    <t>Juegos</t>
  </si>
  <si>
    <t>Apps del celular</t>
  </si>
  <si>
    <t>Total (puede pasar el 100%)</t>
  </si>
  <si>
    <t>Todas las pago yo</t>
  </si>
  <si>
    <t>Lo hice una vez</t>
  </si>
  <si>
    <t>P4. Cómo las paga</t>
  </si>
  <si>
    <t>No, nunca</t>
  </si>
  <si>
    <t>No me ha pasado</t>
  </si>
  <si>
    <t>Ninguna</t>
  </si>
  <si>
    <t>Esta semana</t>
  </si>
  <si>
    <t>La mayoría me las pagan a mí</t>
  </si>
  <si>
    <t>Lo tengo más o menos en la cabeza</t>
  </si>
  <si>
    <t>Que me avise antes de cada cobro</t>
  </si>
  <si>
    <t>Es una mezcla</t>
  </si>
  <si>
    <t>Hasta $1.000 al mes</t>
  </si>
  <si>
    <t>Solo trabajo</t>
  </si>
  <si>
    <t>P5. Gasto mensual ESTIMADO</t>
  </si>
  <si>
    <t>Solo tengo Spotify con descuento de estudiante</t>
  </si>
  <si>
    <t>Convenceme</t>
  </si>
  <si>
    <t>Netflix, Spotify, Disney+, HBO Max, YouTube Premium, ChatGPT u otra IA, Juegos (PS Plus, Game Pass, etc.)</t>
  </si>
  <si>
    <t>Nunca</t>
  </si>
  <si>
    <t>Anoto en Excel o en notas del celular</t>
  </si>
  <si>
    <t>P6. Seguridad sobre su estimación (1 a 5)</t>
  </si>
  <si>
    <t>Que me avise antes de cada cobro, Mostrarme cuánto uso realmente cada una</t>
  </si>
  <si>
    <t>Prefiero un pago único</t>
  </si>
  <si>
    <t>Computador</t>
  </si>
  <si>
    <t>25 a 34</t>
  </si>
  <si>
    <t>Promedio de la escala</t>
  </si>
  <si>
    <t>Sí, lo reviso seguido</t>
  </si>
  <si>
    <t>Sí, una vez</t>
  </si>
  <si>
    <t>Menos de 1 mes</t>
  </si>
  <si>
    <t>Desviación estándar</t>
  </si>
  <si>
    <t>P7. ¿Ha sumado alguna vez su gasto total?</t>
  </si>
  <si>
    <t>Que me avise antes de cada cobro, Que me avise antes de que termine una prueba gratis</t>
  </si>
  <si>
    <t>Celular, Computador</t>
  </si>
  <si>
    <t>P8. Gasto mensual REAL</t>
  </si>
  <si>
    <t>Netflix, Disney+, Prime Video, YouTube Premium, ChatGPT u otra IA</t>
  </si>
  <si>
    <t>Más de 6 meses</t>
  </si>
  <si>
    <t>Reviso la app del banco</t>
  </si>
  <si>
    <t>Ver el total que gasto al mes, Que me avise antes de cada cobro, Ordenar las que comparto con otros</t>
  </si>
  <si>
    <t>Más de $3.000 al mes</t>
  </si>
  <si>
    <t>P9. ¿Ha pagado por algo que no usaba?</t>
  </si>
  <si>
    <t>Pensé que gastaba menos en suscripciones pero al fin y al cabo son cosas que uno utiliza casi siempre.</t>
  </si>
  <si>
    <t>si, claro.</t>
  </si>
  <si>
    <t>Netflix, Disney+, HBO Max, Prime Video, YouTube Premium, Juegos (PS Plus, Game Pass, etc.)</t>
  </si>
  <si>
    <t>No estoy seguro</t>
  </si>
  <si>
    <t>P10. Cuánto tiempo siguió pagando sin usar</t>
  </si>
  <si>
    <t>No he usado pruebas gratis</t>
  </si>
  <si>
    <t>Que me avise antes de cada cobro, Que me avise antes de que termine una prueba gratis, Recomendarme cuál me conviene cancelar</t>
  </si>
  <si>
    <t>Entre 4 y 6 meses</t>
  </si>
  <si>
    <t>Solo estudio</t>
  </si>
  <si>
    <t/>
  </si>
  <si>
    <t>Más de un año</t>
  </si>
  <si>
    <t>Netflix, Spotify, Disney+, HBO Max, Prime Video, ChatGPT u otra IA</t>
  </si>
  <si>
    <t>P11. Cuántas siente que no valen lo que paga</t>
  </si>
  <si>
    <t>Hace 2 o 3 meses</t>
  </si>
  <si>
    <t>4 o más</t>
  </si>
  <si>
    <t>Ver el total que gasto al mes, Mostrarme cuánto uso realmente cada una</t>
  </si>
  <si>
    <t>Solo la usaría si es gratis</t>
  </si>
  <si>
    <t>P12. Último uso de la suscripción que menos usa</t>
  </si>
  <si>
    <t xml:space="preserve">Usualmente en mi familia ocurre que compartimos las suscripciones, pero por no recordar las claves o cuentas, terminamos con dos cuentas distintas pagando 2 veces </t>
  </si>
  <si>
    <t>(correo retirado)</t>
  </si>
  <si>
    <t>Netflix, Spotify, iCloud o Google One</t>
  </si>
  <si>
    <t>Hace más de 3 meses</t>
  </si>
  <si>
    <t>No me acuerdo</t>
  </si>
  <si>
    <t>P13. ¿Le cobraron tras una prueba gratis?</t>
  </si>
  <si>
    <t>Ver el total que gasto al mes</t>
  </si>
  <si>
    <t>Celular, Computador, Smart TV</t>
  </si>
  <si>
    <t>Otro</t>
  </si>
  <si>
    <t>(correo retirado)</t>
  </si>
  <si>
    <t>P14. ¿Siguió pagando por flojera de cancelar?</t>
  </si>
  <si>
    <t>P15. Dificultad para cancelar (1 a 5)</t>
  </si>
  <si>
    <t>iCloud o Google One, ChatGPT u otra IA, Uber one</t>
  </si>
  <si>
    <t>P16. ¿Comparte alguna suscripción?</t>
  </si>
  <si>
    <t>Spotify, YouTube Premium, iCloud o Google One, ChatGPT u otra IA, Apps del celular</t>
  </si>
  <si>
    <t>P17. Problemas para cobrar lo compartido</t>
  </si>
  <si>
    <t>A veces</t>
  </si>
  <si>
    <t>Seguido</t>
  </si>
  <si>
    <t>Que me avise antes de cada cobro, Recomendarme cuál me conviene cancelar</t>
  </si>
  <si>
    <t>P18. Cómo lleva el control hoy</t>
  </si>
  <si>
    <t>45 a 54</t>
  </si>
  <si>
    <t xml:space="preserve">Que todo esté en una sola App con un precio único y económico </t>
  </si>
  <si>
    <t xml:space="preserve">(correo retirado) </t>
  </si>
  <si>
    <t>Crunchyroll</t>
  </si>
  <si>
    <t>Uso una app hecha para eso</t>
  </si>
  <si>
    <t>P19. Qué le ayudaría más (respuesta múltiple)</t>
  </si>
  <si>
    <t>Que me avise antes de que termine una prueba gratis</t>
  </si>
  <si>
    <t>Mostrarme cuánto uso realmente cada una</t>
  </si>
  <si>
    <t>Recomendarme cuál me conviene cancelar</t>
  </si>
  <si>
    <t>Ayudarme a cancelar</t>
  </si>
  <si>
    <t>Ordenar las que comparto con otros</t>
  </si>
  <si>
    <t>P20. Disposición a pagar</t>
  </si>
  <si>
    <t>Ver el total que gasto al mes, Que me avise antes de cada cobro</t>
  </si>
  <si>
    <t>(respuesta retirada)</t>
  </si>
  <si>
    <t>Never! 🤮</t>
  </si>
  <si>
    <t>P21. Dispositivos (respuesta múltiple)</t>
  </si>
  <si>
    <t>Netflix, YouTube Premium, iCloud o Google One, ¡QIYI</t>
  </si>
  <si>
    <t>Smart TV</t>
  </si>
  <si>
    <t>P22. Edad</t>
  </si>
  <si>
    <t>Menos de 18</t>
  </si>
  <si>
    <t>35 a 44</t>
  </si>
  <si>
    <t xml:space="preserve">Netflix está sobre valorado </t>
  </si>
  <si>
    <t>55 o más</t>
  </si>
  <si>
    <t>(correo retirado)</t>
  </si>
  <si>
    <t>P23. Situación actual</t>
  </si>
  <si>
    <t>Netflix, Spotify, Gimnasio</t>
  </si>
  <si>
    <t>CRUCE: cantidad de suscripciones (P2) × pagó por algo sin usar (P9)</t>
  </si>
  <si>
    <t>OBSERVADO</t>
  </si>
  <si>
    <t>P2 \ P9</t>
  </si>
  <si>
    <t>Netflix, YouTube Premium</t>
  </si>
  <si>
    <t>Que te cobren recargo extra por dejar la app</t>
  </si>
  <si>
    <t>(correo retirado)</t>
  </si>
  <si>
    <t>Tidal</t>
  </si>
  <si>
    <t>ESPERADO (si no hubiera relación)</t>
  </si>
  <si>
    <t xml:space="preserve">Las cagadas de prueba gratuitas de Crunchyroll al cancelarlas te la quitan enseguida no es como las demás que dura los 7 días </t>
  </si>
  <si>
    <t>(correo retirado)</t>
  </si>
  <si>
    <t>Valor p (chi-cuadrado)</t>
  </si>
  <si>
    <t>Interpretación</t>
  </si>
  <si>
    <t>Que me avise antes de que termine una prueba gratis, Mostrarme cuánto uso realmente cada una, Ayudarme a cancelar</t>
  </si>
  <si>
    <t>★ PRUEBA DE HIPÓTESIS — ¿tener más suscripciones se asocia con pagar por algo sin usar?</t>
  </si>
  <si>
    <t>Suscripciones</t>
  </si>
  <si>
    <t>Ha pagado sin usar</t>
  </si>
  <si>
    <t>Me gustaría poder detectar fácilmente cuáles suscripciones realmente uso y cuáles podría cancelar.</t>
  </si>
  <si>
    <t xml:space="preserve">Prime Video, Apple Music </t>
  </si>
  <si>
    <t>3 o más</t>
  </si>
  <si>
    <t>Mostrarme cuánto uso realmente cada una, Recomendarme cuál me conviene cancelar</t>
  </si>
  <si>
    <t xml:space="preserve">Nada </t>
  </si>
  <si>
    <t>PORCENTAJES</t>
  </si>
  <si>
    <t>De los que tienen 1 o 2 suscripciones, han pagado sin usar</t>
  </si>
  <si>
    <t>Celular, Smart TV</t>
  </si>
  <si>
    <t>(correo retirado)</t>
  </si>
  <si>
    <t>De los que tienen 3 o más, han pagado sin usar</t>
  </si>
  <si>
    <t>Total que ha pagado por algo sin usar</t>
  </si>
  <si>
    <t>Spotify, Vetflow</t>
  </si>
  <si>
    <t>Celdas esperadas menores a 5</t>
  </si>
  <si>
    <t>(correo retirado)</t>
  </si>
  <si>
    <t>¿La prueba es válida?</t>
  </si>
  <si>
    <t>Para más cruces: selecciona los datos en la hoja de respuestas y usa Insertar → Tabla dinámica. Sugeridos: edad × prueba gratis olvidada, gasto real × disposición a pagar, cantidad de suscripciones × dificultad para cancelar.</t>
  </si>
  <si>
    <t xml:space="preserve">iCloud o Google One, Apple Music </t>
  </si>
  <si>
    <t>Spotify, Apps del celular</t>
  </si>
  <si>
    <t>Ver el total que gasto al mes, Que me avise antes de que termine una prueba gratis, Recomendarme cuál me conviene cancelar</t>
  </si>
  <si>
    <t xml:space="preserve">Juegos (PS Plus, Game Pass, etc.), Apps del celular, </t>
  </si>
  <si>
    <t>Ver el total que gasto al mes, Que me avise antes de cada cobro, Que me avise antes de que termine una prueba gratis, Mostrarme cuánto uso realmente cada una, Recomendarme cuál me conviene cancelar, Ayudarme a cancelar</t>
  </si>
  <si>
    <t>Netflix, Spotify, Juegos (PS Plus, Game Pass, etc.)</t>
  </si>
  <si>
    <t>Ver el total que gasto al mes, Que me avise antes de cada cobro, Que me avise antes de que termine una prueba gratis, Ayudarme a cancelar</t>
  </si>
  <si>
    <t>Computador, Smart TV</t>
  </si>
  <si>
    <t>Mayormente aprovecho las ofertas que dan cada cierto tiempo y las aprovecho, desde que termina la oferta pagó solo un mes más y cambio de plataforma, me gusta ahorrar lo suficiente para dividir mis gastos.</t>
  </si>
  <si>
    <t>(correo retirado)</t>
  </si>
  <si>
    <t>Netflix, Disney+, Paramount+</t>
  </si>
  <si>
    <t>Ver el total que gasto al mes, Recomendarme cuál me conviene cancelar</t>
  </si>
  <si>
    <t>(correo retirado)</t>
  </si>
  <si>
    <t>iCloud o Google One, Private Relay (Separado de iCloud)</t>
  </si>
  <si>
    <t>Private relay viene incluido en el plan 200GB, pero para incluirlo hay que pagar 800 pesos mas. Poreso esta separado de iCloud 200GB</t>
  </si>
  <si>
    <t>(correo retirado)</t>
  </si>
  <si>
    <t>Ver el total que gasto al mes, Que me avise antes de cada cobro, Que me avise antes de que termine una prueba gratis, Mostrarme cuánto uso realmente cada una, Recomendarme cuál me conviene cancelar, Ayudarme a cancelar, Ordenar las que comparto con otros</t>
  </si>
  <si>
    <t xml:space="preserve">Netflix, apple music </t>
  </si>
  <si>
    <t>una prueba gratis de duolingo se acabó y me cobraron 50 lucas :(</t>
  </si>
  <si>
    <t>(correo retirado)</t>
  </si>
  <si>
    <t>Netflix, Spotify, iCloud o Google One, ChatGPT u otra IA</t>
  </si>
  <si>
    <t>(correo retirado)</t>
  </si>
  <si>
    <t>Netflix, Spotify, Disney+, HBO Max, Prime Video, YouTube Premium, iCloud o Google One, ChatGPT u otra IA, Gimnasio, Juegos (PS Plus, Game Pass, etc.), Apps del celular</t>
  </si>
  <si>
    <t>Que me avise antes de que termine una prueba gratis, Mostrarme cuánto uso realmente cada una</t>
  </si>
  <si>
    <t>Mucho cuidado</t>
  </si>
  <si>
    <t>(correo retirado)</t>
  </si>
  <si>
    <t>Netflix, Spotify</t>
  </si>
  <si>
    <t>Spotify, iCloud o Google One, Apps del celular</t>
  </si>
  <si>
    <t>(correo retirado)</t>
  </si>
  <si>
    <t xml:space="preserve">Spotify, Canva </t>
  </si>
  <si>
    <t>Que me avise antes de cada cobro, Que me avise antes de que termine una prueba gratis, Ayudarme a cancelar</t>
  </si>
  <si>
    <t>GRÁFICOS DE LA ENCUESTA</t>
  </si>
  <si>
    <t>Netflix, Spotify, Juegos (PS Plus, Game Pass, etc.), Cruncyroll</t>
  </si>
  <si>
    <t>Se actualizan solos cuando llegan respuestas nuevas. Clic derecho sobre un gráfico → Copiar → pegar en el informe.</t>
  </si>
  <si>
    <t>Auxiliar — gasto estimado vs real</t>
  </si>
  <si>
    <t>(correo retirado)</t>
  </si>
  <si>
    <t>Auxiliar — pagó por algo sin usar, según cuántas suscripciones tiene</t>
  </si>
  <si>
    <t>Nunca le pasó</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</si>
</sst>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
    <numFmt numFmtId="165" formatCode="0.0%"/>
    <numFmt numFmtId="166" formatCode="m/d/yyyy h:mm:ss"/>
    <numFmt numFmtId="167" formatCode="0.0000"/>
  </numFmts>
  <fonts count="9">
    <font>
      <sz val="10.0"/>
      <color rgb="FF000000"/>
      <name val="Arial"/>
      <scheme val="minor"/>
    </font>
    <font>
      <b/>
      <color theme="1"/>
      <name val="Arial"/>
      <scheme val="minor"/>
    </font>
    <font>
      <i/>
      <color rgb="FF666666"/>
      <name val="Arial"/>
      <scheme val="minor"/>
    </font>
    <font>
      <b/>
      <sz val="16.0"/>
      <color theme="1"/>
      <name val="Arial"/>
      <scheme val="minor"/>
    </font>
    <font>
      <color theme="1"/>
      <name val="Arial"/>
      <scheme val="minor"/>
    </font>
    <font>
      <b/>
      <sz val="12.0"/>
      <color theme="1"/>
      <name val="Arial"/>
      <scheme val="minor"/>
    </font>
    <font>
      <i/>
      <color theme="1"/>
      <name val="Arial"/>
      <scheme val="minor"/>
    </font>
    <font>
      <b/>
      <sz val="16.0"/>
      <color rgb="FF1F3864"/>
      <name val="Arial"/>
      <scheme val="minor"/>
    </font>
    <font>
      <b/>
      <color rgb="FF1F3864"/>
      <name val="Arial"/>
      <scheme val="minor"/>
    </font>
  </fonts>
  <fills count="6">
    <fill>
      <patternFill patternType="none"/>
    </fill>
    <fill>
      <patternFill patternType="lightGray"/>
    </fill>
    <fill>
      <patternFill patternType="solid">
        <fgColor rgb="FFFFF2CC"/>
        <bgColor rgb="FFFFF2CC"/>
      </patternFill>
    </fill>
    <fill>
      <patternFill patternType="solid">
        <fgColor rgb="FFD9EAD3"/>
        <bgColor rgb="FFD9EAD3"/>
      </patternFill>
    </fill>
    <fill>
      <patternFill patternType="solid">
        <fgColor rgb="FFEFEFEF"/>
        <bgColor rgb="FFEFEFEF"/>
      </patternFill>
    </fill>
    <fill>
      <patternFill patternType="solid">
        <fgColor rgb="FFCFE2F3"/>
        <bgColor rgb="FFCFE2F3"/>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4" numFmtId="164" xfId="0" applyAlignment="1" applyFont="1" applyNumberFormat="1">
      <alignment readingOrder="0"/>
    </xf>
    <xf borderId="0" fillId="0" fontId="4" numFmtId="0" xfId="0" applyFont="1"/>
    <xf borderId="0" fillId="2" fontId="5" numFmtId="0" xfId="0" applyAlignment="1" applyFill="1" applyFont="1">
      <alignment readingOrder="0"/>
    </xf>
    <xf borderId="0" fillId="0" fontId="4" numFmtId="164" xfId="0" applyFont="1" applyNumberFormat="1"/>
    <xf borderId="0" fillId="0" fontId="4" numFmtId="165" xfId="0" applyFont="1" applyNumberFormat="1"/>
    <xf borderId="0" fillId="0" fontId="4" numFmtId="0" xfId="0" applyAlignment="1" applyFont="1">
      <alignment horizontal="left" readingOrder="0" shrinkToFit="0" vertical="center" wrapText="0"/>
    </xf>
    <xf borderId="0" fillId="3" fontId="5" numFmtId="0" xfId="0" applyAlignment="1" applyFill="1" applyFont="1">
      <alignment readingOrder="0"/>
    </xf>
    <xf borderId="0" fillId="4" fontId="1" numFmtId="0" xfId="0" applyAlignment="1" applyFill="1" applyFont="1">
      <alignment readingOrder="0"/>
    </xf>
    <xf borderId="0" fillId="0" fontId="6" numFmtId="0" xfId="0" applyAlignment="1" applyFont="1">
      <alignment readingOrder="0"/>
    </xf>
    <xf borderId="0" fillId="0" fontId="4" numFmtId="166" xfId="0" applyAlignment="1" applyFont="1" applyNumberFormat="1">
      <alignment readingOrder="0" shrinkToFit="0" vertical="center" wrapText="0"/>
    </xf>
    <xf borderId="0" fillId="0" fontId="4" numFmtId="0" xfId="0" applyAlignment="1" applyFont="1">
      <alignment readingOrder="0" shrinkToFit="0" vertical="center" wrapText="0"/>
    </xf>
    <xf borderId="0" fillId="0" fontId="4" numFmtId="0" xfId="0" applyAlignment="1" applyFont="1">
      <alignment shrinkToFit="0" vertical="center" wrapText="0"/>
    </xf>
    <xf borderId="0" fillId="0" fontId="4" numFmtId="166" xfId="0" applyAlignment="1" applyFont="1" applyNumberFormat="1">
      <alignment readingOrder="0" shrinkToFit="0" vertical="center" wrapText="0"/>
    </xf>
    <xf borderId="0" fillId="0" fontId="4" numFmtId="0" xfId="0" applyAlignment="1" applyFont="1">
      <alignment readingOrder="0" shrinkToFit="0" vertical="center" wrapText="0"/>
    </xf>
    <xf borderId="0" fillId="0" fontId="4" numFmtId="0" xfId="0" applyAlignment="1" applyFont="1">
      <alignment readingOrder="0"/>
    </xf>
    <xf borderId="0" fillId="0" fontId="4" numFmtId="2" xfId="0" applyFont="1" applyNumberFormat="1"/>
    <xf borderId="0" fillId="5" fontId="5" numFmtId="0" xfId="0" applyAlignment="1" applyFill="1" applyFont="1">
      <alignment readingOrder="0"/>
    </xf>
    <xf borderId="0" fillId="0" fontId="4" numFmtId="167" xfId="0" applyFont="1" applyNumberFormat="1"/>
    <xf borderId="0" fillId="0" fontId="7" numFmtId="0" xfId="0" applyAlignment="1" applyFont="1">
      <alignment readingOrder="0"/>
    </xf>
    <xf borderId="0" fillId="0" fontId="8" numFmtId="0" xfId="0" applyAlignment="1" applyFon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300">
                <a:solidFill>
                  <a:srgbClr val="1F3864"/>
                </a:solidFill>
                <a:latin typeface="+mn-lt"/>
              </a:defRPr>
            </a:pPr>
            <a:r>
              <a:rPr b="1" sz="1300">
                <a:solidFill>
                  <a:srgbClr val="1F3864"/>
                </a:solidFill>
                <a:latin typeface="+mn-lt"/>
              </a:rPr>
              <a:t>¿Qué le ayudaría más? (podían elegir 2)</a:t>
            </a:r>
          </a:p>
        </c:rich>
      </c:tx>
      <c:overlay val="0"/>
    </c:title>
    <c:plotArea>
      <c:layout/>
      <c:barChart>
        <c:barDir val="bar"/>
        <c:ser>
          <c:idx val="0"/>
          <c:order val="0"/>
          <c:spPr>
            <a:solidFill>
              <a:srgbClr val="2E5395"/>
            </a:solidFill>
            <a:ln cmpd="sng">
              <a:noFill/>
            </a:ln>
          </c:spPr>
          <c:cat>
            <c:strRef>
              <c:f>Analisis!$A$185:$A$192</c:f>
            </c:strRef>
          </c:cat>
          <c:val>
            <c:numRef>
              <c:f>Analisis!$B$185:$B$192</c:f>
              <c:numCache/>
            </c:numRef>
          </c:val>
        </c:ser>
        <c:axId val="270591193"/>
        <c:axId val="451122305"/>
      </c:barChart>
      <c:catAx>
        <c:axId val="27059119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51122305"/>
      </c:catAx>
      <c:valAx>
        <c:axId val="45112230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70591193"/>
        <c:crosses val="max"/>
      </c:valAx>
    </c:plotArea>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300">
                <a:solidFill>
                  <a:srgbClr val="1F3864"/>
                </a:solidFill>
                <a:latin typeface="+mn-lt"/>
              </a:defRPr>
            </a:pPr>
            <a:r>
              <a:rPr b="1" sz="1300">
                <a:solidFill>
                  <a:srgbClr val="1F3864"/>
                </a:solidFill>
                <a:latin typeface="+mn-lt"/>
              </a:rPr>
              <a:t>Ha pagado por algo sin usar, según cuántas suscripciones tiene</a:t>
            </a:r>
          </a:p>
        </c:rich>
      </c:tx>
      <c:overlay val="0"/>
    </c:title>
    <c:plotArea>
      <c:layout/>
      <c:barChart>
        <c:barDir val="col"/>
        <c:ser>
          <c:idx val="0"/>
          <c:order val="0"/>
          <c:spPr>
            <a:solidFill>
              <a:srgbClr val="2E5395"/>
            </a:solidFill>
            <a:ln cmpd="sng">
              <a:noFill/>
            </a:ln>
          </c:spPr>
          <c:cat>
            <c:strRef>
              <c:f>Graficos!$A$15:$A$17</c:f>
            </c:strRef>
          </c:cat>
          <c:val>
            <c:numRef>
              <c:f>Graficos!$B$15:$B$17</c:f>
              <c:numCache/>
            </c:numRef>
          </c:val>
        </c:ser>
        <c:ser>
          <c:idx val="1"/>
          <c:order val="1"/>
          <c:spPr>
            <a:solidFill>
              <a:srgbClr val="C0504D"/>
            </a:solidFill>
            <a:ln cmpd="sng">
              <a:noFill/>
            </a:ln>
          </c:spPr>
          <c:cat>
            <c:strRef>
              <c:f>Graficos!$A$15:$A$17</c:f>
            </c:strRef>
          </c:cat>
          <c:val>
            <c:numRef>
              <c:f>Graficos!$C$15:$C$17</c:f>
              <c:numCache/>
            </c:numRef>
          </c:val>
        </c:ser>
        <c:axId val="336323945"/>
        <c:axId val="422382589"/>
      </c:barChart>
      <c:catAx>
        <c:axId val="3363239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22382589"/>
      </c:catAx>
      <c:valAx>
        <c:axId val="42238258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36323945"/>
      </c:valAx>
    </c:plotArea>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300">
                <a:solidFill>
                  <a:srgbClr val="1F3864"/>
                </a:solidFill>
                <a:latin typeface="+mn-lt"/>
              </a:defRPr>
            </a:pPr>
            <a:r>
              <a:rPr b="1" sz="1300">
                <a:solidFill>
                  <a:srgbClr val="1F3864"/>
                </a:solidFill>
                <a:latin typeface="+mn-lt"/>
              </a:rPr>
              <a:t>¿Ha pagado por una suscripción que no usaba?</a:t>
            </a:r>
          </a:p>
        </c:rich>
      </c:tx>
      <c:overlay val="0"/>
    </c:title>
    <c:plotArea>
      <c:layout/>
      <c:pieChart>
        <c:varyColors val="1"/>
        <c:ser>
          <c:idx val="0"/>
          <c:order val="0"/>
          <c:dPt>
            <c:idx val="0"/>
            <c:spPr>
              <a:solidFill>
                <a:srgbClr val="2E5395"/>
              </a:solidFill>
            </c:spPr>
          </c:dPt>
          <c:dPt>
            <c:idx val="1"/>
            <c:spPr>
              <a:solidFill>
                <a:srgbClr val="C0504D"/>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Analisis!$A$101:$A$105</c:f>
            </c:strRef>
          </c:cat>
          <c:val>
            <c:numRef>
              <c:f>Analisis!$B$101:$B$105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300">
                <a:solidFill>
                  <a:srgbClr val="1F3864"/>
                </a:solidFill>
                <a:latin typeface="+mn-lt"/>
              </a:defRPr>
            </a:pPr>
            <a:r>
              <a:rPr b="1" sz="1300">
                <a:solidFill>
                  <a:srgbClr val="1F3864"/>
                </a:solidFill>
                <a:latin typeface="+mn-lt"/>
              </a:rPr>
              <a:t>¿Le cobraron al terminar una prueba gratuita?</a:t>
            </a:r>
          </a:p>
        </c:rich>
      </c:tx>
      <c:overlay val="0"/>
    </c:title>
    <c:plotArea>
      <c:layout/>
      <c:pieChart>
        <c:varyColors val="1"/>
        <c:ser>
          <c:idx val="0"/>
          <c:order val="0"/>
          <c:dPt>
            <c:idx val="0"/>
            <c:spPr>
              <a:solidFill>
                <a:srgbClr val="2E5395"/>
              </a:solidFill>
            </c:spPr>
          </c:dPt>
          <c:dPt>
            <c:idx val="1"/>
            <c:spPr>
              <a:solidFill>
                <a:srgbClr val="C0504D"/>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Analisis!$A$137:$A$141</c:f>
            </c:strRef>
          </c:cat>
          <c:val>
            <c:numRef>
              <c:f>Analisis!$B$137:$B$141</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300">
                <a:solidFill>
                  <a:srgbClr val="1F3864"/>
                </a:solidFill>
                <a:latin typeface="+mn-lt"/>
              </a:defRPr>
            </a:pPr>
            <a:r>
              <a:rPr b="1" sz="1300">
                <a:solidFill>
                  <a:srgbClr val="1F3864"/>
                </a:solidFill>
                <a:latin typeface="+mn-lt"/>
              </a:rPr>
              <a:t>¿Cómo lleva el control de sus suscripciones hoy?</a:t>
            </a:r>
          </a:p>
        </c:rich>
      </c:tx>
      <c:overlay val="0"/>
    </c:title>
    <c:plotArea>
      <c:layout/>
      <c:barChart>
        <c:barDir val="bar"/>
        <c:ser>
          <c:idx val="0"/>
          <c:order val="0"/>
          <c:spPr>
            <a:solidFill>
              <a:srgbClr val="2E5395"/>
            </a:solidFill>
            <a:ln cmpd="sng">
              <a:noFill/>
            </a:ln>
          </c:spPr>
          <c:cat>
            <c:strRef>
              <c:f>Analisis!$A$176:$A$181</c:f>
            </c:strRef>
          </c:cat>
          <c:val>
            <c:numRef>
              <c:f>Analisis!$B$176:$B$181</c:f>
              <c:numCache/>
            </c:numRef>
          </c:val>
        </c:ser>
        <c:axId val="1598882511"/>
        <c:axId val="2063508532"/>
      </c:barChart>
      <c:catAx>
        <c:axId val="159888251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63508532"/>
      </c:catAx>
      <c:valAx>
        <c:axId val="206350853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98882511"/>
        <c:crosses val="max"/>
      </c:valAx>
    </c:plotArea>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300">
                <a:solidFill>
                  <a:srgbClr val="1F3864"/>
                </a:solidFill>
                <a:latin typeface="+mn-lt"/>
              </a:defRPr>
            </a:pPr>
            <a:r>
              <a:rPr b="1" sz="1300">
                <a:solidFill>
                  <a:srgbClr val="1F3864"/>
                </a:solidFill>
                <a:latin typeface="+mn-lt"/>
              </a:rPr>
              <a:t>¿Cuántas suscripciones de pago tiene?</a:t>
            </a:r>
          </a:p>
        </c:rich>
      </c:tx>
      <c:overlay val="0"/>
    </c:title>
    <c:plotArea>
      <c:layout/>
      <c:barChart>
        <c:barDir val="col"/>
        <c:ser>
          <c:idx val="0"/>
          <c:order val="0"/>
          <c:spPr>
            <a:solidFill>
              <a:srgbClr val="2E5395"/>
            </a:solidFill>
            <a:ln cmpd="sng">
              <a:noFill/>
            </a:ln>
          </c:spPr>
          <c:cat>
            <c:strRef>
              <c:f>Analisis!$A$31:$A$36</c:f>
            </c:strRef>
          </c:cat>
          <c:val>
            <c:numRef>
              <c:f>Analisis!$B$31:$B$36</c:f>
              <c:numCache/>
            </c:numRef>
          </c:val>
        </c:ser>
        <c:axId val="1131691963"/>
        <c:axId val="1046177356"/>
      </c:barChart>
      <c:catAx>
        <c:axId val="11316919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46177356"/>
      </c:catAx>
      <c:valAx>
        <c:axId val="10461773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31691963"/>
      </c:valAx>
    </c:plotArea>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300">
                <a:solidFill>
                  <a:srgbClr val="1F3864"/>
                </a:solidFill>
                <a:latin typeface="+mn-lt"/>
              </a:defRPr>
            </a:pPr>
            <a:r>
              <a:rPr b="1" sz="1300">
                <a:solidFill>
                  <a:srgbClr val="1F3864"/>
                </a:solidFill>
                <a:latin typeface="+mn-lt"/>
              </a:rPr>
              <a:t>Gasto mensual: estimado vs. real</a:t>
            </a:r>
          </a:p>
        </c:rich>
      </c:tx>
      <c:overlay val="0"/>
    </c:title>
    <c:plotArea>
      <c:layout/>
      <c:barChart>
        <c:barDir val="col"/>
        <c:ser>
          <c:idx val="0"/>
          <c:order val="0"/>
          <c:spPr>
            <a:solidFill>
              <a:srgbClr val="2E5395"/>
            </a:solidFill>
            <a:ln cmpd="sng">
              <a:noFill/>
            </a:ln>
          </c:spPr>
          <c:cat>
            <c:strRef>
              <c:f>Graficos!$A$5:$A$11</c:f>
            </c:strRef>
          </c:cat>
          <c:val>
            <c:numRef>
              <c:f>Graficos!$B$5:$B$11</c:f>
              <c:numCache/>
            </c:numRef>
          </c:val>
        </c:ser>
        <c:ser>
          <c:idx val="1"/>
          <c:order val="1"/>
          <c:spPr>
            <a:solidFill>
              <a:srgbClr val="C0504D"/>
            </a:solidFill>
            <a:ln cmpd="sng">
              <a:noFill/>
            </a:ln>
          </c:spPr>
          <c:cat>
            <c:strRef>
              <c:f>Graficos!$A$5:$A$11</c:f>
            </c:strRef>
          </c:cat>
          <c:val>
            <c:numRef>
              <c:f>Graficos!$C$5:$C$11</c:f>
              <c:numCache/>
            </c:numRef>
          </c:val>
        </c:ser>
        <c:axId val="1022145203"/>
        <c:axId val="68495796"/>
      </c:barChart>
      <c:catAx>
        <c:axId val="10221452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8495796"/>
      </c:catAx>
      <c:valAx>
        <c:axId val="684957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22145203"/>
      </c:valAx>
    </c:plotArea>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300">
                <a:solidFill>
                  <a:srgbClr val="1F3864"/>
                </a:solidFill>
                <a:latin typeface="+mn-lt"/>
              </a:defRPr>
            </a:pPr>
            <a:r>
              <a:rPr b="1" sz="1300">
                <a:solidFill>
                  <a:srgbClr val="1F3864"/>
                </a:solidFill>
                <a:latin typeface="+mn-lt"/>
              </a:rPr>
              <a:t>Servicios contratados</a:t>
            </a:r>
          </a:p>
        </c:rich>
      </c:tx>
      <c:overlay val="0"/>
    </c:title>
    <c:plotArea>
      <c:layout/>
      <c:barChart>
        <c:barDir val="bar"/>
        <c:ser>
          <c:idx val="0"/>
          <c:order val="0"/>
          <c:spPr>
            <a:solidFill>
              <a:srgbClr val="2E5395"/>
            </a:solidFill>
            <a:ln cmpd="sng">
              <a:noFill/>
            </a:ln>
          </c:spPr>
          <c:cat>
            <c:strRef>
              <c:f>Analisis!$A$40:$A$51</c:f>
            </c:strRef>
          </c:cat>
          <c:val>
            <c:numRef>
              <c:f>Analisis!$B$40:$B$51</c:f>
              <c:numCache/>
            </c:numRef>
          </c:val>
        </c:ser>
        <c:axId val="2006123451"/>
        <c:axId val="44551219"/>
      </c:barChart>
      <c:catAx>
        <c:axId val="200612345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4551219"/>
      </c:catAx>
      <c:valAx>
        <c:axId val="4455121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06123451"/>
        <c:crosses val="max"/>
      </c:valAx>
    </c:plotArea>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300">
                <a:solidFill>
                  <a:srgbClr val="1F3864"/>
                </a:solidFill>
                <a:latin typeface="+mn-lt"/>
              </a:defRPr>
            </a:pPr>
            <a:r>
              <a:rPr b="1" sz="1300">
                <a:solidFill>
                  <a:srgbClr val="1F3864"/>
                </a:solidFill>
                <a:latin typeface="+mn-lt"/>
              </a:rPr>
              <a:t>¿Cuánto pagaría por la aplicación?</a:t>
            </a:r>
          </a:p>
        </c:rich>
      </c:tx>
      <c:overlay val="0"/>
    </c:title>
    <c:plotArea>
      <c:layout/>
      <c:barChart>
        <c:barDir val="bar"/>
        <c:ser>
          <c:idx val="0"/>
          <c:order val="0"/>
          <c:spPr>
            <a:solidFill>
              <a:srgbClr val="2E5395"/>
            </a:solidFill>
            <a:ln cmpd="sng">
              <a:noFill/>
            </a:ln>
          </c:spPr>
          <c:cat>
            <c:strRef>
              <c:f>Analisis!$A$196:$A$201</c:f>
            </c:strRef>
          </c:cat>
          <c:val>
            <c:numRef>
              <c:f>Analisis!$B$196:$B$201</c:f>
              <c:numCache/>
            </c:numRef>
          </c:val>
        </c:ser>
        <c:axId val="356773363"/>
        <c:axId val="1130713016"/>
      </c:barChart>
      <c:catAx>
        <c:axId val="35677336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30713016"/>
      </c:catAx>
      <c:valAx>
        <c:axId val="113071301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56773363"/>
        <c:crosses val="max"/>
      </c:valAx>
    </c:plotArea>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300">
                <a:solidFill>
                  <a:srgbClr val="1F3864"/>
                </a:solidFill>
                <a:latin typeface="+mn-lt"/>
              </a:defRPr>
            </a:pPr>
            <a:r>
              <a:rPr b="1" sz="1300">
                <a:solidFill>
                  <a:srgbClr val="1F3864"/>
                </a:solidFill>
                <a:latin typeface="+mn-lt"/>
              </a:rPr>
              <a:t>¿En qué dispositivos la usaría?</a:t>
            </a:r>
          </a:p>
        </c:rich>
      </c:tx>
      <c:overlay val="0"/>
    </c:title>
    <c:plotArea>
      <c:layout/>
      <c:barChart>
        <c:barDir val="col"/>
        <c:ser>
          <c:idx val="0"/>
          <c:order val="0"/>
          <c:spPr>
            <a:solidFill>
              <a:srgbClr val="2E5395"/>
            </a:solidFill>
            <a:ln cmpd="sng">
              <a:noFill/>
            </a:ln>
          </c:spPr>
          <c:cat>
            <c:strRef>
              <c:f>Analisis!$A$205:$A$208</c:f>
            </c:strRef>
          </c:cat>
          <c:val>
            <c:numRef>
              <c:f>Analisis!$B$205:$B$208</c:f>
              <c:numCache/>
            </c:numRef>
          </c:val>
        </c:ser>
        <c:axId val="694599671"/>
        <c:axId val="747307914"/>
      </c:barChart>
      <c:catAx>
        <c:axId val="6945996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47307914"/>
      </c:catAx>
      <c:valAx>
        <c:axId val="7473079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94599671"/>
      </c:valAx>
    </c:plotArea>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300">
                <a:solidFill>
                  <a:srgbClr val="1F3864"/>
                </a:solidFill>
                <a:latin typeface="+mn-lt"/>
              </a:defRPr>
            </a:pPr>
            <a:r>
              <a:rPr b="1" sz="1300">
                <a:solidFill>
                  <a:srgbClr val="1F3864"/>
                </a:solidFill>
                <a:latin typeface="+mn-lt"/>
              </a:rPr>
              <a:t>Último uso de la suscripción que menos usa</a:t>
            </a:r>
          </a:p>
        </c:rich>
      </c:tx>
      <c:overlay val="0"/>
    </c:title>
    <c:plotArea>
      <c:layout/>
      <c:barChart>
        <c:barDir val="col"/>
        <c:ser>
          <c:idx val="0"/>
          <c:order val="0"/>
          <c:spPr>
            <a:solidFill>
              <a:srgbClr val="2E5395"/>
            </a:solidFill>
            <a:ln cmpd="sng">
              <a:noFill/>
            </a:ln>
          </c:spPr>
          <c:cat>
            <c:strRef>
              <c:f>Analisis!$A$128:$A$133</c:f>
            </c:strRef>
          </c:cat>
          <c:val>
            <c:numRef>
              <c:f>Analisis!$B$128:$B$133</c:f>
              <c:numCache/>
            </c:numRef>
          </c:val>
        </c:ser>
        <c:axId val="178546814"/>
        <c:axId val="1581062719"/>
      </c:barChart>
      <c:catAx>
        <c:axId val="1785468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81062719"/>
      </c:catAx>
      <c:valAx>
        <c:axId val="15810627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8546814"/>
      </c:valAx>
    </c:plotArea>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300">
                <a:solidFill>
                  <a:srgbClr val="1F3864"/>
                </a:solidFill>
                <a:latin typeface="+mn-lt"/>
              </a:defRPr>
            </a:pPr>
            <a:r>
              <a:rPr b="1" sz="1300">
                <a:solidFill>
                  <a:srgbClr val="1F3864"/>
                </a:solidFill>
                <a:latin typeface="+mn-lt"/>
              </a:rPr>
              <a:t>Edad de los encuestados (sesgo de la muestra)</a:t>
            </a:r>
          </a:p>
        </c:rich>
      </c:tx>
      <c:overlay val="0"/>
    </c:title>
    <c:plotArea>
      <c:layout/>
      <c:barChart>
        <c:barDir val="col"/>
        <c:ser>
          <c:idx val="0"/>
          <c:order val="0"/>
          <c:spPr>
            <a:solidFill>
              <a:srgbClr val="2E5395"/>
            </a:solidFill>
            <a:ln cmpd="sng">
              <a:noFill/>
            </a:ln>
          </c:spPr>
          <c:cat>
            <c:strRef>
              <c:f>Analisis!$A$212:$A$218</c:f>
            </c:strRef>
          </c:cat>
          <c:val>
            <c:numRef>
              <c:f>Analisis!$B$212:$B$218</c:f>
              <c:numCache/>
            </c:numRef>
          </c:val>
        </c:ser>
        <c:axId val="487439687"/>
        <c:axId val="508333530"/>
      </c:barChart>
      <c:catAx>
        <c:axId val="4874396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08333530"/>
      </c:catAx>
      <c:valAx>
        <c:axId val="5083335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87439687"/>
      </c:valAx>
    </c:plotArea>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11" Type="http://schemas.openxmlformats.org/officeDocument/2006/relationships/chart" Target="../charts/chart11.xml"/><Relationship Id="rId10" Type="http://schemas.openxmlformats.org/officeDocument/2006/relationships/chart" Target="../charts/chart10.xml"/><Relationship Id="rId12" Type="http://schemas.openxmlformats.org/officeDocument/2006/relationships/chart" Target="../charts/chart12.xml"/><Relationship Id="rId9" Type="http://schemas.openxmlformats.org/officeDocument/2006/relationships/chart" Target="../charts/chart9.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19</xdr:row>
      <xdr:rowOff>0</xdr:rowOff>
    </xdr:from>
    <xdr:ext cx="4381500" cy="28575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0</xdr:colOff>
      <xdr:row>19</xdr:row>
      <xdr:rowOff>0</xdr:rowOff>
    </xdr:from>
    <xdr:ext cx="4381500" cy="2857500"/>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36</xdr:row>
      <xdr:rowOff>0</xdr:rowOff>
    </xdr:from>
    <xdr:ext cx="4381500" cy="2857500"/>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8</xdr:col>
      <xdr:colOff>0</xdr:colOff>
      <xdr:row>36</xdr:row>
      <xdr:rowOff>0</xdr:rowOff>
    </xdr:from>
    <xdr:ext cx="4381500" cy="2857500"/>
    <xdr:graphicFrame>
      <xdr:nvGraphicFramePr>
        <xdr:cNvPr id="4" name="Chart 4"/>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0</xdr:colOff>
      <xdr:row>53</xdr:row>
      <xdr:rowOff>0</xdr:rowOff>
    </xdr:from>
    <xdr:ext cx="4381500" cy="2857500"/>
    <xdr:graphicFrame>
      <xdr:nvGraphicFramePr>
        <xdr:cNvPr id="5" name="Chart 5"/>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8</xdr:col>
      <xdr:colOff>0</xdr:colOff>
      <xdr:row>53</xdr:row>
      <xdr:rowOff>0</xdr:rowOff>
    </xdr:from>
    <xdr:ext cx="4381500" cy="2857500"/>
    <xdr:graphicFrame>
      <xdr:nvGraphicFramePr>
        <xdr:cNvPr id="6" name="Chart 6"/>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0</xdr:colOff>
      <xdr:row>70</xdr:row>
      <xdr:rowOff>0</xdr:rowOff>
    </xdr:from>
    <xdr:ext cx="4381500" cy="2857500"/>
    <xdr:graphicFrame>
      <xdr:nvGraphicFramePr>
        <xdr:cNvPr id="7" name="Chart 7"/>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8</xdr:col>
      <xdr:colOff>0</xdr:colOff>
      <xdr:row>70</xdr:row>
      <xdr:rowOff>0</xdr:rowOff>
    </xdr:from>
    <xdr:ext cx="4381500" cy="2857500"/>
    <xdr:graphicFrame>
      <xdr:nvGraphicFramePr>
        <xdr:cNvPr id="8" name="Chart 8"/>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0</xdr:colOff>
      <xdr:row>87</xdr:row>
      <xdr:rowOff>0</xdr:rowOff>
    </xdr:from>
    <xdr:ext cx="4381500" cy="2857500"/>
    <xdr:graphicFrame>
      <xdr:nvGraphicFramePr>
        <xdr:cNvPr id="9" name="Chart 9"/>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8</xdr:col>
      <xdr:colOff>0</xdr:colOff>
      <xdr:row>87</xdr:row>
      <xdr:rowOff>0</xdr:rowOff>
    </xdr:from>
    <xdr:ext cx="4381500" cy="2857500"/>
    <xdr:graphicFrame>
      <xdr:nvGraphicFramePr>
        <xdr:cNvPr id="10" name="Chart 10"/>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0</xdr:col>
      <xdr:colOff>0</xdr:colOff>
      <xdr:row>104</xdr:row>
      <xdr:rowOff>0</xdr:rowOff>
    </xdr:from>
    <xdr:ext cx="4381500" cy="2857500"/>
    <xdr:graphicFrame>
      <xdr:nvGraphicFramePr>
        <xdr:cNvPr id="11" name="Chart 11"/>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8</xdr:col>
      <xdr:colOff>0</xdr:colOff>
      <xdr:row>104</xdr:row>
      <xdr:rowOff>0</xdr:rowOff>
    </xdr:from>
    <xdr:ext cx="4381500" cy="2857500"/>
    <xdr:graphicFrame>
      <xdr:nvGraphicFramePr>
        <xdr:cNvPr id="12" name="Chart 12"/>
        <xdr:cNvGraphicFramePr/>
      </xdr:nvGraphicFramePr>
      <xdr:xfrm>
        <a:off x="0" y="0"/>
        <a:ext cx="0" cy="0"/>
      </xdr:xfrm>
      <a:graphic>
        <a:graphicData uri="http://schemas.openxmlformats.org/drawingml/2006/chart">
          <c:chart r:id="rId12"/>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Z50" displayName="Form_Responses" name="Form_Responses" id="1">
  <tableColumns count="26">
    <tableColumn name="Marca temporal" id="1"/>
    <tableColumn name="¿Pagas actualmente al menos una suscripción mensual o anual?" id="2"/>
    <tableColumn name="P2. ¿Cuántas suscripciones de pago tienes actualmente?" id="3"/>
    <tableColumn name="P3. ¿Cuáles tienes? (marca todas las que correspondan)" id="4"/>
    <tableColumn name="P4. ¿Cómo las pagas principalmente?" id="5"/>
    <tableColumn name="P5. Sin revisar tu banco ni tus apps, ¿cuánto crees que gastas al mes en total en suscripciones?" id="6"/>
    <tableColumn name="P6. ¿Qué tan seguro estás de esa cifra?" id="7"/>
    <tableColumn name="P7. ¿Alguna vez has sumado de verdad cuánto gastas al mes en suscripciones?" id="8"/>
    <tableColumn name="P8. Ahora sí: tómate un minuto, revisa tu banco o tus apps y dinos el total REAL." id="9"/>
    <tableColumn name="P9. ¿Has pagado alguna vez por una suscripción que no estabas usando?" id="10"/>
    <tableColumn name="P10. Si te pasó, ¿cuánto tiempo seguiste pagando sin usarla?" id="11"/>
    <tableColumn name="P11. De las suscripciones que tienes hoy, ¿cuántas sientes que no valen lo que pagas?" id="12"/>
    <tableColumn name="P12. La suscripción que MENOS usas, ¿cuándo la usaste por última vez?" id="13"/>
    <tableColumn name="P13. ¿Te ha pasado que terminó una prueba gratis y te cobraron sin darte cuenta?" id="14"/>
    <tableColumn name="P14. ¿Has dejado de usar algo pero seguiste pagando por flojera o por no saber cómo cancelarlo?" id="15"/>
    <tableColumn name="P15. Cuando has querido cancelar una suscripción, ¿qué tan difícil te ha resultado?" id="16"/>
    <tableColumn name="P16. ¿Compartes alguna suscripción con familia o amigos?" id="17"/>
    <tableColumn name="P17. Si compartes, ¿has tenido problemas para cobrar o para llevar la cuenta de quién paga qué?" id="18"/>
    <tableColumn name="P18. ¿Qué haces hoy para llevar el control de tus suscripciones?" id="19"/>
    <tableColumn name="P19. ¿Qué te ayudaría más? (elige máximo 2)" id="20"/>
    <tableColumn name="P20. Si una app te ahorrara $15.000 al mes, ¿cuánto estarías dispuesto a pagar por ella?" id="21"/>
    <tableColumn name="P21. ¿En qué dispositivos la usarías?" id="22"/>
    <tableColumn name="P22. ¿Cuál es tu edad?" id="23"/>
    <tableColumn name="P23. ¿Cuál es tu situación actual?" id="24"/>
    <tableColumn name="P24. ¿Algo más que quieras contarnos sobre tus suscripciones?" id="25"/>
    <tableColumn name="P25. Si te gustaría probar la app cuando esté lista, déjanos tu correo" id="26"/>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4" width="37.63"/>
    <col customWidth="1" min="5" max="5" width="32.63"/>
    <col customWidth="1" min="6" max="6" width="37.63"/>
    <col customWidth="1" min="7" max="7" width="33.88"/>
    <col customWidth="1" min="8" max="21" width="37.63"/>
    <col customWidth="1" min="22" max="22" width="32.0"/>
    <col customWidth="1" min="23" max="23" width="21.75"/>
    <col customWidth="1" min="24" max="24" width="29.63"/>
    <col customWidth="1" min="25" max="26" width="37.63"/>
    <col customWidth="1" min="27" max="32" width="18.88"/>
  </cols>
  <sheetData>
    <row r="1" ht="22.5" customHeight="1">
      <c r="A1" s="11" t="s">
        <v>26</v>
      </c>
      <c r="B1" s="11" t="s">
        <v>30</v>
      </c>
      <c r="C1" s="11" t="s">
        <v>31</v>
      </c>
      <c r="D1" s="11" t="s">
        <v>32</v>
      </c>
      <c r="E1" s="11" t="s">
        <v>34</v>
      </c>
      <c r="F1" s="11" t="s">
        <v>36</v>
      </c>
      <c r="G1" s="11" t="s">
        <v>37</v>
      </c>
      <c r="H1" s="11" t="s">
        <v>39</v>
      </c>
      <c r="I1" s="11" t="s">
        <v>41</v>
      </c>
      <c r="J1" s="11" t="s">
        <v>45</v>
      </c>
      <c r="K1" s="11" t="s">
        <v>46</v>
      </c>
      <c r="L1" s="11" t="s">
        <v>47</v>
      </c>
      <c r="M1" s="11" t="s">
        <v>48</v>
      </c>
      <c r="N1" s="11" t="s">
        <v>49</v>
      </c>
      <c r="O1" s="11" t="s">
        <v>50</v>
      </c>
      <c r="P1" s="11" t="s">
        <v>51</v>
      </c>
      <c r="Q1" s="11" t="s">
        <v>53</v>
      </c>
      <c r="R1" s="11" t="s">
        <v>54</v>
      </c>
      <c r="S1" s="11" t="s">
        <v>56</v>
      </c>
      <c r="T1" s="11" t="s">
        <v>57</v>
      </c>
      <c r="U1" s="11" t="s">
        <v>58</v>
      </c>
      <c r="V1" s="11" t="s">
        <v>59</v>
      </c>
      <c r="W1" s="11" t="s">
        <v>61</v>
      </c>
      <c r="X1" s="11" t="s">
        <v>62</v>
      </c>
      <c r="Y1" s="11" t="s">
        <v>64</v>
      </c>
      <c r="Z1" s="11" t="s">
        <v>65</v>
      </c>
    </row>
    <row r="2" ht="22.5" customHeight="1">
      <c r="A2" s="15">
        <v>46248.841023229164</v>
      </c>
      <c r="B2" s="16" t="s">
        <v>44</v>
      </c>
      <c r="C2" s="16" t="s">
        <v>67</v>
      </c>
      <c r="D2" s="16" t="s">
        <v>69</v>
      </c>
      <c r="E2" s="16" t="s">
        <v>71</v>
      </c>
      <c r="F2" s="16" t="s">
        <v>13</v>
      </c>
      <c r="G2" s="16">
        <v>3.0</v>
      </c>
      <c r="H2" s="16" t="s">
        <v>72</v>
      </c>
      <c r="I2" s="16" t="s">
        <v>15</v>
      </c>
      <c r="J2" s="16" t="s">
        <v>75</v>
      </c>
      <c r="K2" s="16" t="s">
        <v>76</v>
      </c>
      <c r="L2" s="16">
        <v>2.0</v>
      </c>
      <c r="M2" s="16" t="s">
        <v>77</v>
      </c>
      <c r="N2" s="16" t="s">
        <v>78</v>
      </c>
      <c r="O2" s="16" t="s">
        <v>44</v>
      </c>
      <c r="P2" s="16">
        <v>5.0</v>
      </c>
      <c r="Q2" s="16" t="s">
        <v>52</v>
      </c>
      <c r="R2" s="16" t="s">
        <v>80</v>
      </c>
      <c r="S2" s="16" t="s">
        <v>81</v>
      </c>
      <c r="T2" s="16" t="s">
        <v>83</v>
      </c>
      <c r="U2" s="16" t="s">
        <v>84</v>
      </c>
      <c r="V2" s="16" t="s">
        <v>86</v>
      </c>
      <c r="W2" s="16" t="s">
        <v>88</v>
      </c>
      <c r="X2" s="16" t="s">
        <v>89</v>
      </c>
      <c r="Y2" s="17"/>
      <c r="Z2" s="17"/>
    </row>
    <row r="3" ht="22.5" customHeight="1">
      <c r="A3" s="18">
        <v>46248.84327994213</v>
      </c>
      <c r="B3" s="19" t="s">
        <v>44</v>
      </c>
      <c r="C3" s="19" t="s">
        <v>63</v>
      </c>
      <c r="D3" s="19" t="s">
        <v>79</v>
      </c>
      <c r="E3" s="19" t="s">
        <v>97</v>
      </c>
      <c r="F3" s="19" t="s">
        <v>7</v>
      </c>
      <c r="G3" s="19">
        <v>5.0</v>
      </c>
      <c r="H3" s="19" t="s">
        <v>98</v>
      </c>
      <c r="I3" s="19" t="s">
        <v>7</v>
      </c>
      <c r="J3" s="19" t="s">
        <v>100</v>
      </c>
      <c r="K3" s="19" t="s">
        <v>101</v>
      </c>
      <c r="L3" s="19" t="s">
        <v>102</v>
      </c>
      <c r="M3" s="19" t="s">
        <v>103</v>
      </c>
      <c r="N3" s="19" t="s">
        <v>100</v>
      </c>
      <c r="O3" s="19" t="s">
        <v>52</v>
      </c>
      <c r="P3" s="19">
        <v>2.0</v>
      </c>
      <c r="Q3" s="19" t="s">
        <v>52</v>
      </c>
      <c r="R3" s="19" t="s">
        <v>80</v>
      </c>
      <c r="S3" s="19" t="s">
        <v>105</v>
      </c>
      <c r="T3" s="19" t="s">
        <v>106</v>
      </c>
      <c r="U3" s="19" t="s">
        <v>108</v>
      </c>
      <c r="V3" s="19" t="s">
        <v>86</v>
      </c>
      <c r="W3" s="19" t="s">
        <v>88</v>
      </c>
      <c r="X3" s="19" t="s">
        <v>109</v>
      </c>
      <c r="Y3" s="19" t="s">
        <v>111</v>
      </c>
      <c r="Z3" s="19" t="s">
        <v>112</v>
      </c>
    </row>
    <row r="4" ht="22.5" customHeight="1">
      <c r="A4" s="18">
        <v>46248.85054834491</v>
      </c>
      <c r="B4" s="19" t="s">
        <v>44</v>
      </c>
      <c r="C4" s="19" t="s">
        <v>68</v>
      </c>
      <c r="D4" s="19" t="s">
        <v>113</v>
      </c>
      <c r="E4" s="19" t="s">
        <v>71</v>
      </c>
      <c r="F4" s="19" t="s">
        <v>14</v>
      </c>
      <c r="G4" s="19">
        <v>3.0</v>
      </c>
      <c r="H4" s="19" t="s">
        <v>72</v>
      </c>
      <c r="J4" s="19" t="s">
        <v>75</v>
      </c>
      <c r="K4" s="19" t="s">
        <v>76</v>
      </c>
      <c r="L4" s="19">
        <v>1.0</v>
      </c>
      <c r="M4" s="19" t="s">
        <v>77</v>
      </c>
      <c r="N4" s="19" t="s">
        <v>78</v>
      </c>
      <c r="O4" s="19" t="s">
        <v>52</v>
      </c>
      <c r="P4" s="19">
        <v>3.0</v>
      </c>
      <c r="Q4" s="19" t="s">
        <v>44</v>
      </c>
      <c r="R4" s="19" t="s">
        <v>114</v>
      </c>
      <c r="S4" s="19" t="s">
        <v>115</v>
      </c>
      <c r="T4" s="19" t="s">
        <v>117</v>
      </c>
      <c r="U4" s="19" t="s">
        <v>118</v>
      </c>
      <c r="V4" s="19" t="s">
        <v>119</v>
      </c>
      <c r="W4" s="19" t="s">
        <v>120</v>
      </c>
      <c r="X4" s="19" t="s">
        <v>109</v>
      </c>
    </row>
    <row r="5" ht="22.5" customHeight="1">
      <c r="A5" s="18">
        <v>46248.87102060185</v>
      </c>
      <c r="B5" s="19" t="s">
        <v>52</v>
      </c>
    </row>
    <row r="6" ht="22.5" customHeight="1">
      <c r="A6" s="18">
        <v>46248.88152847222</v>
      </c>
      <c r="B6" s="19" t="s">
        <v>52</v>
      </c>
    </row>
    <row r="7" ht="22.5" customHeight="1">
      <c r="A7" s="18">
        <v>46248.88661101852</v>
      </c>
      <c r="B7" s="19" t="s">
        <v>44</v>
      </c>
      <c r="C7" s="19" t="s">
        <v>63</v>
      </c>
      <c r="D7" s="19" t="s">
        <v>79</v>
      </c>
      <c r="E7" s="19" t="s">
        <v>97</v>
      </c>
      <c r="F7" s="19" t="s">
        <v>7</v>
      </c>
      <c r="G7" s="19">
        <v>5.0</v>
      </c>
      <c r="H7" s="19" t="s">
        <v>122</v>
      </c>
      <c r="I7" s="19" t="s">
        <v>7</v>
      </c>
      <c r="J7" s="19" t="s">
        <v>123</v>
      </c>
      <c r="K7" s="19" t="s">
        <v>124</v>
      </c>
      <c r="L7" s="19">
        <v>1.0</v>
      </c>
      <c r="M7" s="19" t="s">
        <v>103</v>
      </c>
      <c r="N7" s="19" t="s">
        <v>78</v>
      </c>
      <c r="O7" s="19" t="s">
        <v>44</v>
      </c>
      <c r="P7" s="19">
        <v>5.0</v>
      </c>
      <c r="Q7" s="19" t="s">
        <v>52</v>
      </c>
      <c r="R7" s="19" t="s">
        <v>80</v>
      </c>
      <c r="S7" s="19" t="s">
        <v>81</v>
      </c>
      <c r="T7" s="19" t="s">
        <v>127</v>
      </c>
      <c r="U7" s="19" t="s">
        <v>118</v>
      </c>
      <c r="V7" s="19" t="s">
        <v>128</v>
      </c>
      <c r="W7" s="19" t="s">
        <v>88</v>
      </c>
      <c r="X7" s="19" t="s">
        <v>89</v>
      </c>
    </row>
    <row r="8" ht="22.5" customHeight="1">
      <c r="A8" s="18">
        <v>46248.888774085644</v>
      </c>
      <c r="B8" s="19" t="s">
        <v>44</v>
      </c>
      <c r="C8" s="19" t="s">
        <v>67</v>
      </c>
      <c r="D8" s="19" t="s">
        <v>130</v>
      </c>
      <c r="E8" s="19" t="s">
        <v>71</v>
      </c>
      <c r="F8" s="19" t="s">
        <v>13</v>
      </c>
      <c r="G8" s="19">
        <v>4.0</v>
      </c>
      <c r="H8" s="19" t="s">
        <v>98</v>
      </c>
      <c r="I8" s="19" t="s">
        <v>14</v>
      </c>
      <c r="J8" s="19" t="s">
        <v>123</v>
      </c>
      <c r="K8" s="19" t="s">
        <v>131</v>
      </c>
      <c r="L8" s="19" t="s">
        <v>102</v>
      </c>
      <c r="M8" s="19" t="s">
        <v>103</v>
      </c>
      <c r="N8" s="19" t="s">
        <v>123</v>
      </c>
      <c r="O8" s="19" t="s">
        <v>52</v>
      </c>
      <c r="P8" s="19">
        <v>4.0</v>
      </c>
      <c r="Q8" s="19" t="s">
        <v>44</v>
      </c>
      <c r="R8" s="19" t="s">
        <v>114</v>
      </c>
      <c r="S8" s="19" t="s">
        <v>132</v>
      </c>
      <c r="T8" s="19" t="s">
        <v>133</v>
      </c>
      <c r="U8" s="19" t="s">
        <v>134</v>
      </c>
      <c r="V8" s="19" t="s">
        <v>86</v>
      </c>
      <c r="W8" s="19" t="s">
        <v>88</v>
      </c>
      <c r="X8" s="19" t="s">
        <v>109</v>
      </c>
      <c r="Y8" s="19" t="s">
        <v>136</v>
      </c>
      <c r="Z8" s="19" t="s">
        <v>137</v>
      </c>
    </row>
    <row r="9" ht="22.5" customHeight="1">
      <c r="A9" s="18">
        <v>46248.898806157405</v>
      </c>
      <c r="B9" s="19" t="s">
        <v>44</v>
      </c>
      <c r="C9" s="19" t="s">
        <v>67</v>
      </c>
      <c r="D9" s="19" t="s">
        <v>138</v>
      </c>
      <c r="E9" s="19" t="s">
        <v>104</v>
      </c>
      <c r="F9" s="19" t="s">
        <v>12</v>
      </c>
      <c r="G9" s="19">
        <v>4.0</v>
      </c>
      <c r="H9" s="19" t="s">
        <v>72</v>
      </c>
      <c r="J9" s="19" t="s">
        <v>123</v>
      </c>
      <c r="K9" s="19" t="s">
        <v>76</v>
      </c>
      <c r="L9" s="19">
        <v>3.0</v>
      </c>
      <c r="M9" s="19" t="s">
        <v>77</v>
      </c>
      <c r="N9" s="19" t="s">
        <v>141</v>
      </c>
      <c r="O9" s="19" t="s">
        <v>52</v>
      </c>
      <c r="P9" s="19">
        <v>4.0</v>
      </c>
      <c r="Q9" s="19" t="s">
        <v>44</v>
      </c>
      <c r="R9" s="19" t="s">
        <v>114</v>
      </c>
      <c r="S9" s="19" t="s">
        <v>81</v>
      </c>
      <c r="T9" s="19" t="s">
        <v>142</v>
      </c>
      <c r="U9" s="19" t="s">
        <v>108</v>
      </c>
      <c r="V9" s="19" t="s">
        <v>119</v>
      </c>
      <c r="W9" s="19" t="s">
        <v>88</v>
      </c>
      <c r="X9" s="19" t="s">
        <v>144</v>
      </c>
    </row>
    <row r="10" ht="22.5" customHeight="1">
      <c r="A10" s="18">
        <v>46248.899217048616</v>
      </c>
      <c r="B10" s="19" t="s">
        <v>44</v>
      </c>
      <c r="C10" s="19" t="s">
        <v>67</v>
      </c>
      <c r="D10" s="19" t="s">
        <v>147</v>
      </c>
      <c r="E10" s="19" t="s">
        <v>104</v>
      </c>
      <c r="F10" s="19" t="s">
        <v>11</v>
      </c>
      <c r="G10" s="19">
        <v>3.0</v>
      </c>
      <c r="H10" s="19" t="s">
        <v>72</v>
      </c>
      <c r="I10" s="19" t="s">
        <v>12</v>
      </c>
      <c r="J10" s="19" t="s">
        <v>75</v>
      </c>
      <c r="K10" s="19" t="s">
        <v>131</v>
      </c>
      <c r="L10" s="19" t="s">
        <v>102</v>
      </c>
      <c r="M10" s="19" t="s">
        <v>149</v>
      </c>
      <c r="N10" s="19" t="s">
        <v>78</v>
      </c>
      <c r="O10" s="19" t="s">
        <v>44</v>
      </c>
      <c r="P10" s="19">
        <v>3.0</v>
      </c>
      <c r="Q10" s="19" t="s">
        <v>44</v>
      </c>
      <c r="R10" s="19" t="s">
        <v>114</v>
      </c>
      <c r="S10" s="19" t="s">
        <v>81</v>
      </c>
      <c r="T10" s="19" t="s">
        <v>151</v>
      </c>
      <c r="U10" s="19" t="s">
        <v>152</v>
      </c>
      <c r="V10" s="19" t="s">
        <v>86</v>
      </c>
      <c r="W10" s="19" t="s">
        <v>88</v>
      </c>
      <c r="X10" s="19" t="s">
        <v>144</v>
      </c>
      <c r="Y10" s="19" t="s">
        <v>154</v>
      </c>
      <c r="Z10" s="19" t="s">
        <v>155</v>
      </c>
    </row>
    <row r="11" ht="22.5" customHeight="1">
      <c r="A11" s="18">
        <v>46248.926279050924</v>
      </c>
      <c r="B11" s="19" t="s">
        <v>44</v>
      </c>
      <c r="C11" s="19" t="s">
        <v>66</v>
      </c>
      <c r="D11" s="19" t="s">
        <v>156</v>
      </c>
      <c r="E11" s="19" t="s">
        <v>107</v>
      </c>
      <c r="F11" s="19" t="s">
        <v>13</v>
      </c>
      <c r="G11" s="19">
        <v>1.0</v>
      </c>
      <c r="H11" s="19" t="s">
        <v>72</v>
      </c>
      <c r="I11" s="19" t="s">
        <v>7</v>
      </c>
      <c r="J11" s="19" t="s">
        <v>75</v>
      </c>
      <c r="K11" s="19" t="s">
        <v>76</v>
      </c>
      <c r="L11" s="19" t="s">
        <v>102</v>
      </c>
      <c r="M11" s="19" t="s">
        <v>103</v>
      </c>
      <c r="N11" s="19" t="s">
        <v>78</v>
      </c>
      <c r="O11" s="19" t="s">
        <v>52</v>
      </c>
      <c r="P11" s="19">
        <v>3.0</v>
      </c>
      <c r="Q11" s="19" t="s">
        <v>44</v>
      </c>
      <c r="R11" s="19" t="s">
        <v>80</v>
      </c>
      <c r="S11" s="19" t="s">
        <v>81</v>
      </c>
      <c r="T11" s="19" t="s">
        <v>160</v>
      </c>
      <c r="U11" s="19" t="s">
        <v>108</v>
      </c>
      <c r="V11" s="19" t="s">
        <v>161</v>
      </c>
      <c r="W11" s="19" t="s">
        <v>88</v>
      </c>
      <c r="X11" s="19" t="s">
        <v>162</v>
      </c>
      <c r="Z11" s="19" t="s">
        <v>163</v>
      </c>
    </row>
    <row r="12" ht="22.5" customHeight="1">
      <c r="A12" s="18">
        <v>46248.98783672454</v>
      </c>
      <c r="B12" s="19" t="s">
        <v>44</v>
      </c>
      <c r="C12" s="19" t="s">
        <v>63</v>
      </c>
      <c r="D12" s="19" t="s">
        <v>79</v>
      </c>
      <c r="E12" s="19" t="s">
        <v>97</v>
      </c>
      <c r="F12" s="19" t="s">
        <v>7</v>
      </c>
      <c r="G12" s="19">
        <v>5.0</v>
      </c>
      <c r="H12" s="19" t="s">
        <v>122</v>
      </c>
      <c r="I12" s="19" t="s">
        <v>7</v>
      </c>
      <c r="J12" s="19" t="s">
        <v>123</v>
      </c>
      <c r="K12" s="19" t="s">
        <v>124</v>
      </c>
      <c r="L12" s="19" t="s">
        <v>102</v>
      </c>
      <c r="M12" s="19" t="s">
        <v>103</v>
      </c>
      <c r="N12" s="19" t="s">
        <v>123</v>
      </c>
      <c r="O12" s="19" t="s">
        <v>44</v>
      </c>
      <c r="P12" s="19">
        <v>3.0</v>
      </c>
      <c r="Q12" s="19" t="s">
        <v>44</v>
      </c>
      <c r="R12" s="19" t="s">
        <v>114</v>
      </c>
      <c r="S12" s="19" t="s">
        <v>105</v>
      </c>
      <c r="T12" s="19" t="s">
        <v>127</v>
      </c>
      <c r="U12" s="19" t="s">
        <v>108</v>
      </c>
      <c r="V12" s="19" t="s">
        <v>86</v>
      </c>
      <c r="W12" s="19" t="s">
        <v>88</v>
      </c>
      <c r="X12" s="19" t="s">
        <v>162</v>
      </c>
    </row>
    <row r="13" ht="22.5" customHeight="1">
      <c r="A13" s="18">
        <v>46249.01130407407</v>
      </c>
      <c r="B13" s="19" t="s">
        <v>44</v>
      </c>
      <c r="C13" s="19" t="s">
        <v>63</v>
      </c>
      <c r="D13" s="19" t="s">
        <v>166</v>
      </c>
      <c r="E13" s="19" t="s">
        <v>97</v>
      </c>
      <c r="F13" s="19" t="s">
        <v>12</v>
      </c>
      <c r="G13" s="19">
        <v>5.0</v>
      </c>
      <c r="H13" s="19" t="s">
        <v>122</v>
      </c>
      <c r="I13" s="19" t="s">
        <v>12</v>
      </c>
      <c r="J13" s="19" t="s">
        <v>123</v>
      </c>
      <c r="K13" s="19" t="s">
        <v>124</v>
      </c>
      <c r="L13" s="19" t="s">
        <v>102</v>
      </c>
      <c r="M13" s="19" t="s">
        <v>77</v>
      </c>
      <c r="N13" s="19" t="s">
        <v>78</v>
      </c>
      <c r="O13" s="19" t="s">
        <v>52</v>
      </c>
      <c r="P13" s="19">
        <v>2.0</v>
      </c>
      <c r="Q13" s="19" t="s">
        <v>52</v>
      </c>
      <c r="R13" s="19" t="s">
        <v>80</v>
      </c>
      <c r="S13" s="19" t="s">
        <v>105</v>
      </c>
      <c r="T13" s="19" t="s">
        <v>127</v>
      </c>
      <c r="U13" s="19" t="s">
        <v>84</v>
      </c>
      <c r="V13" s="19" t="s">
        <v>86</v>
      </c>
      <c r="W13" s="19" t="s">
        <v>120</v>
      </c>
      <c r="X13" s="19" t="s">
        <v>144</v>
      </c>
    </row>
    <row r="14" ht="22.5" customHeight="1">
      <c r="A14" s="18">
        <v>46249.0167408912</v>
      </c>
      <c r="B14" s="19" t="s">
        <v>44</v>
      </c>
      <c r="C14" s="19" t="s">
        <v>67</v>
      </c>
      <c r="D14" s="19" t="s">
        <v>168</v>
      </c>
      <c r="E14" s="19" t="s">
        <v>97</v>
      </c>
      <c r="F14" s="19" t="s">
        <v>14</v>
      </c>
      <c r="G14" s="19">
        <v>5.0</v>
      </c>
      <c r="H14" s="19" t="s">
        <v>122</v>
      </c>
      <c r="I14" s="19" t="s">
        <v>14</v>
      </c>
      <c r="J14" s="19" t="s">
        <v>75</v>
      </c>
      <c r="K14" s="19" t="s">
        <v>101</v>
      </c>
      <c r="L14" s="19" t="s">
        <v>150</v>
      </c>
      <c r="M14" s="19" t="s">
        <v>103</v>
      </c>
      <c r="N14" s="19" t="s">
        <v>78</v>
      </c>
      <c r="O14" s="19" t="s">
        <v>52</v>
      </c>
      <c r="P14" s="19">
        <v>1.0</v>
      </c>
      <c r="Q14" s="19" t="s">
        <v>52</v>
      </c>
      <c r="R14" s="19" t="s">
        <v>114</v>
      </c>
      <c r="S14" s="19" t="s">
        <v>132</v>
      </c>
      <c r="T14" s="19" t="s">
        <v>172</v>
      </c>
      <c r="U14" s="19" t="s">
        <v>118</v>
      </c>
      <c r="V14" s="19" t="s">
        <v>161</v>
      </c>
      <c r="W14" s="19" t="s">
        <v>174</v>
      </c>
      <c r="X14" s="19" t="s">
        <v>109</v>
      </c>
      <c r="Y14" s="19" t="s">
        <v>175</v>
      </c>
      <c r="Z14" s="19" t="s">
        <v>176</v>
      </c>
    </row>
    <row r="15" ht="22.5" customHeight="1">
      <c r="A15" s="18">
        <v>46249.038918125</v>
      </c>
      <c r="B15" s="19" t="s">
        <v>44</v>
      </c>
      <c r="C15" s="19" t="s">
        <v>63</v>
      </c>
      <c r="D15" s="19" t="s">
        <v>177</v>
      </c>
      <c r="E15" s="19" t="s">
        <v>97</v>
      </c>
      <c r="F15" s="19" t="s">
        <v>7</v>
      </c>
      <c r="G15" s="19">
        <v>5.0</v>
      </c>
      <c r="H15" s="19" t="s">
        <v>72</v>
      </c>
      <c r="I15" s="19" t="s">
        <v>7</v>
      </c>
      <c r="J15" s="19" t="s">
        <v>100</v>
      </c>
      <c r="K15" s="19" t="s">
        <v>124</v>
      </c>
      <c r="L15" s="19" t="s">
        <v>102</v>
      </c>
      <c r="M15" s="19" t="s">
        <v>103</v>
      </c>
      <c r="N15" s="19" t="s">
        <v>100</v>
      </c>
      <c r="O15" s="19" t="s">
        <v>52</v>
      </c>
      <c r="P15" s="19">
        <v>1.0</v>
      </c>
      <c r="Q15" s="19" t="s">
        <v>44</v>
      </c>
      <c r="R15" s="19" t="s">
        <v>114</v>
      </c>
      <c r="S15" s="19" t="s">
        <v>105</v>
      </c>
      <c r="T15" s="19" t="s">
        <v>127</v>
      </c>
      <c r="U15" s="19" t="s">
        <v>108</v>
      </c>
      <c r="V15" s="19" t="s">
        <v>86</v>
      </c>
      <c r="W15" s="19" t="s">
        <v>120</v>
      </c>
      <c r="X15" s="19" t="s">
        <v>89</v>
      </c>
    </row>
    <row r="16" ht="22.5" customHeight="1">
      <c r="A16" s="18">
        <v>46249.09256603009</v>
      </c>
      <c r="B16" s="19" t="s">
        <v>52</v>
      </c>
    </row>
    <row r="17" ht="22.5" customHeight="1">
      <c r="A17" s="18">
        <v>46251.896775960646</v>
      </c>
      <c r="B17" s="19" t="s">
        <v>44</v>
      </c>
      <c r="C17" s="19" t="s">
        <v>63</v>
      </c>
      <c r="D17" s="19" t="s">
        <v>79</v>
      </c>
      <c r="E17" s="19" t="s">
        <v>97</v>
      </c>
      <c r="F17" s="19" t="s">
        <v>7</v>
      </c>
      <c r="G17" s="19">
        <v>5.0</v>
      </c>
      <c r="H17" s="19" t="s">
        <v>72</v>
      </c>
      <c r="I17" s="19" t="s">
        <v>7</v>
      </c>
      <c r="J17" s="19" t="s">
        <v>100</v>
      </c>
      <c r="K17" s="19" t="s">
        <v>101</v>
      </c>
      <c r="L17" s="19" t="s">
        <v>102</v>
      </c>
      <c r="M17" s="19" t="s">
        <v>158</v>
      </c>
      <c r="N17" s="19" t="s">
        <v>100</v>
      </c>
      <c r="O17" s="19" t="s">
        <v>44</v>
      </c>
      <c r="P17" s="19">
        <v>1.0</v>
      </c>
      <c r="Q17" s="19" t="s">
        <v>52</v>
      </c>
      <c r="R17" s="19" t="s">
        <v>80</v>
      </c>
      <c r="S17" s="19" t="s">
        <v>178</v>
      </c>
      <c r="T17" s="19" t="s">
        <v>186</v>
      </c>
      <c r="U17" s="19" t="s">
        <v>152</v>
      </c>
      <c r="V17" s="19" t="s">
        <v>86</v>
      </c>
      <c r="W17" s="19" t="s">
        <v>88</v>
      </c>
      <c r="X17" s="19" t="s">
        <v>89</v>
      </c>
      <c r="Y17" s="19" t="s">
        <v>187</v>
      </c>
      <c r="Z17" s="19" t="s">
        <v>188</v>
      </c>
    </row>
    <row r="18" ht="22.5" customHeight="1">
      <c r="A18" s="18">
        <v>46251.897256122684</v>
      </c>
      <c r="B18" s="19" t="s">
        <v>52</v>
      </c>
    </row>
    <row r="19" ht="22.5" customHeight="1">
      <c r="A19" s="18">
        <v>46251.89880851852</v>
      </c>
      <c r="B19" s="19" t="s">
        <v>44</v>
      </c>
      <c r="C19" s="19" t="s">
        <v>66</v>
      </c>
      <c r="D19" s="19" t="s">
        <v>190</v>
      </c>
      <c r="E19" s="19" t="s">
        <v>97</v>
      </c>
      <c r="F19" s="19" t="s">
        <v>12</v>
      </c>
      <c r="G19" s="19">
        <v>4.0</v>
      </c>
      <c r="H19" s="19" t="s">
        <v>122</v>
      </c>
      <c r="I19" s="19" t="s">
        <v>12</v>
      </c>
      <c r="J19" s="19" t="s">
        <v>123</v>
      </c>
      <c r="K19" s="19" t="s">
        <v>76</v>
      </c>
      <c r="L19" s="19">
        <v>1.0</v>
      </c>
      <c r="M19" s="19" t="s">
        <v>77</v>
      </c>
      <c r="N19" s="19" t="s">
        <v>78</v>
      </c>
      <c r="O19" s="19" t="s">
        <v>52</v>
      </c>
      <c r="P19" s="19">
        <v>3.0</v>
      </c>
      <c r="Q19" s="19" t="s">
        <v>52</v>
      </c>
      <c r="R19" s="19" t="s">
        <v>80</v>
      </c>
      <c r="S19" s="19" t="s">
        <v>105</v>
      </c>
      <c r="T19" s="19" t="s">
        <v>127</v>
      </c>
      <c r="U19" s="19" t="s">
        <v>152</v>
      </c>
      <c r="V19" s="19" t="s">
        <v>86</v>
      </c>
      <c r="W19" s="19" t="s">
        <v>88</v>
      </c>
      <c r="X19" s="19" t="s">
        <v>144</v>
      </c>
      <c r="Y19" s="19" t="s">
        <v>195</v>
      </c>
      <c r="Z19" s="19" t="s">
        <v>197</v>
      </c>
    </row>
    <row r="20" ht="22.5" customHeight="1">
      <c r="A20" s="18">
        <v>46251.908218553246</v>
      </c>
      <c r="B20" s="19" t="s">
        <v>44</v>
      </c>
      <c r="C20" s="19" t="s">
        <v>66</v>
      </c>
      <c r="D20" s="19" t="s">
        <v>199</v>
      </c>
      <c r="E20" s="19" t="s">
        <v>71</v>
      </c>
      <c r="F20" s="19" t="s">
        <v>11</v>
      </c>
      <c r="G20" s="19">
        <v>5.0</v>
      </c>
      <c r="H20" s="19" t="s">
        <v>122</v>
      </c>
      <c r="I20" s="19" t="s">
        <v>11</v>
      </c>
      <c r="J20" s="19" t="s">
        <v>75</v>
      </c>
      <c r="K20" s="19" t="s">
        <v>124</v>
      </c>
      <c r="L20" s="19">
        <v>2.0</v>
      </c>
      <c r="M20" s="19" t="s">
        <v>103</v>
      </c>
      <c r="N20" s="19" t="s">
        <v>123</v>
      </c>
      <c r="O20" s="19" t="s">
        <v>44</v>
      </c>
      <c r="P20" s="19">
        <v>4.0</v>
      </c>
      <c r="Q20" s="19" t="s">
        <v>44</v>
      </c>
      <c r="R20" s="19" t="s">
        <v>170</v>
      </c>
      <c r="S20" s="19" t="s">
        <v>132</v>
      </c>
      <c r="T20" s="19" t="s">
        <v>127</v>
      </c>
      <c r="U20" s="19" t="s">
        <v>84</v>
      </c>
      <c r="V20" s="19" t="s">
        <v>86</v>
      </c>
      <c r="W20" s="19" t="s">
        <v>120</v>
      </c>
      <c r="X20" s="19" t="s">
        <v>89</v>
      </c>
    </row>
    <row r="21" ht="22.5" customHeight="1">
      <c r="A21" s="18">
        <v>46251.91195601852</v>
      </c>
      <c r="B21" s="19" t="s">
        <v>44</v>
      </c>
      <c r="C21" s="19" t="s">
        <v>63</v>
      </c>
      <c r="D21" s="19" t="s">
        <v>203</v>
      </c>
      <c r="E21" s="19" t="s">
        <v>71</v>
      </c>
      <c r="F21" s="19" t="s">
        <v>11</v>
      </c>
      <c r="G21" s="19">
        <v>5.0</v>
      </c>
      <c r="H21" s="19" t="s">
        <v>122</v>
      </c>
      <c r="I21" s="19" t="s">
        <v>11</v>
      </c>
      <c r="J21" s="19" t="s">
        <v>75</v>
      </c>
      <c r="K21" s="19" t="s">
        <v>143</v>
      </c>
      <c r="L21" s="19" t="s">
        <v>102</v>
      </c>
      <c r="M21" s="19" t="s">
        <v>103</v>
      </c>
      <c r="N21" s="19" t="s">
        <v>100</v>
      </c>
      <c r="O21" s="19" t="s">
        <v>44</v>
      </c>
      <c r="P21" s="19">
        <v>3.0</v>
      </c>
      <c r="Q21" s="19" t="s">
        <v>44</v>
      </c>
      <c r="R21" s="19" t="s">
        <v>114</v>
      </c>
      <c r="S21" s="19" t="s">
        <v>115</v>
      </c>
      <c r="T21" s="19" t="s">
        <v>186</v>
      </c>
      <c r="U21" s="19" t="s">
        <v>134</v>
      </c>
      <c r="V21" s="19" t="s">
        <v>119</v>
      </c>
      <c r="W21" s="19" t="s">
        <v>120</v>
      </c>
      <c r="X21" s="19" t="s">
        <v>89</v>
      </c>
      <c r="Y21" s="19" t="s">
        <v>204</v>
      </c>
      <c r="Z21" s="19" t="s">
        <v>205</v>
      </c>
    </row>
    <row r="22" ht="22.5" customHeight="1">
      <c r="A22" s="18">
        <v>46251.926574895835</v>
      </c>
      <c r="B22" s="19" t="s">
        <v>44</v>
      </c>
      <c r="C22" s="19" t="s">
        <v>63</v>
      </c>
      <c r="D22" s="19" t="s">
        <v>206</v>
      </c>
      <c r="E22" s="19" t="s">
        <v>97</v>
      </c>
      <c r="F22" s="19" t="s">
        <v>7</v>
      </c>
      <c r="G22" s="19">
        <v>5.0</v>
      </c>
      <c r="H22" s="19" t="s">
        <v>122</v>
      </c>
      <c r="I22" s="19" t="s">
        <v>7</v>
      </c>
      <c r="J22" s="19" t="s">
        <v>123</v>
      </c>
      <c r="K22" s="19" t="s">
        <v>124</v>
      </c>
      <c r="L22" s="19" t="s">
        <v>102</v>
      </c>
      <c r="M22" s="19" t="s">
        <v>103</v>
      </c>
      <c r="N22" s="19" t="s">
        <v>78</v>
      </c>
      <c r="O22" s="19" t="s">
        <v>52</v>
      </c>
      <c r="P22" s="19">
        <v>3.0</v>
      </c>
      <c r="Q22" s="19" t="s">
        <v>52</v>
      </c>
      <c r="R22" s="19" t="s">
        <v>80</v>
      </c>
      <c r="S22" s="19" t="s">
        <v>105</v>
      </c>
      <c r="T22" s="19" t="s">
        <v>127</v>
      </c>
      <c r="U22" s="19" t="s">
        <v>84</v>
      </c>
      <c r="V22" s="19" t="s">
        <v>128</v>
      </c>
      <c r="W22" s="19" t="s">
        <v>88</v>
      </c>
      <c r="X22" s="19" t="s">
        <v>144</v>
      </c>
      <c r="Y22" s="19" t="s">
        <v>208</v>
      </c>
      <c r="Z22" s="19" t="s">
        <v>209</v>
      </c>
    </row>
    <row r="23" ht="22.5" customHeight="1">
      <c r="A23" s="18">
        <v>46251.92733918982</v>
      </c>
      <c r="B23" s="19" t="s">
        <v>52</v>
      </c>
    </row>
    <row r="24" ht="22.5" customHeight="1">
      <c r="A24" s="18">
        <v>46251.96128590278</v>
      </c>
      <c r="B24" s="19" t="s">
        <v>44</v>
      </c>
      <c r="C24" s="19" t="s">
        <v>66</v>
      </c>
      <c r="D24" s="19" t="s">
        <v>147</v>
      </c>
      <c r="E24" s="19" t="s">
        <v>107</v>
      </c>
      <c r="F24" s="19" t="s">
        <v>12</v>
      </c>
      <c r="G24" s="19">
        <v>3.0</v>
      </c>
      <c r="H24" s="19" t="s">
        <v>72</v>
      </c>
      <c r="I24" s="19" t="s">
        <v>14</v>
      </c>
      <c r="J24" s="19" t="s">
        <v>75</v>
      </c>
      <c r="K24" s="19" t="s">
        <v>76</v>
      </c>
      <c r="L24" s="19" t="s">
        <v>102</v>
      </c>
      <c r="M24" s="19" t="s">
        <v>77</v>
      </c>
      <c r="N24" s="19" t="s">
        <v>123</v>
      </c>
      <c r="O24" s="19" t="s">
        <v>44</v>
      </c>
      <c r="P24" s="19">
        <v>3.0</v>
      </c>
      <c r="Q24" s="19" t="s">
        <v>44</v>
      </c>
      <c r="R24" s="19" t="s">
        <v>114</v>
      </c>
      <c r="S24" s="19" t="s">
        <v>105</v>
      </c>
      <c r="T24" s="19" t="s">
        <v>212</v>
      </c>
      <c r="U24" s="19" t="s">
        <v>118</v>
      </c>
      <c r="V24" s="19" t="s">
        <v>161</v>
      </c>
      <c r="W24" s="19" t="s">
        <v>120</v>
      </c>
      <c r="X24" s="19" t="s">
        <v>109</v>
      </c>
      <c r="Y24" s="19" t="s">
        <v>216</v>
      </c>
    </row>
    <row r="25" ht="22.5" customHeight="1">
      <c r="A25" s="18">
        <v>46251.9878502662</v>
      </c>
      <c r="B25" s="19" t="s">
        <v>44</v>
      </c>
      <c r="C25" s="19" t="s">
        <v>63</v>
      </c>
      <c r="D25" s="19" t="s">
        <v>217</v>
      </c>
      <c r="E25" s="19" t="s">
        <v>97</v>
      </c>
      <c r="F25" s="19" t="s">
        <v>13</v>
      </c>
      <c r="G25" s="19">
        <v>4.0</v>
      </c>
      <c r="H25" s="19" t="s">
        <v>122</v>
      </c>
      <c r="I25" s="19" t="s">
        <v>13</v>
      </c>
      <c r="J25" s="19" t="s">
        <v>75</v>
      </c>
      <c r="K25" s="19" t="s">
        <v>124</v>
      </c>
      <c r="L25" s="19">
        <v>2.0</v>
      </c>
      <c r="M25" s="19" t="s">
        <v>103</v>
      </c>
      <c r="N25" s="19" t="s">
        <v>78</v>
      </c>
      <c r="O25" s="19" t="s">
        <v>44</v>
      </c>
      <c r="P25" s="19">
        <v>3.0</v>
      </c>
      <c r="Q25" s="19" t="s">
        <v>52</v>
      </c>
      <c r="R25" s="19" t="s">
        <v>170</v>
      </c>
      <c r="S25" s="19" t="s">
        <v>105</v>
      </c>
      <c r="T25" s="19" t="s">
        <v>219</v>
      </c>
      <c r="U25" s="19" t="s">
        <v>152</v>
      </c>
      <c r="V25" s="19" t="s">
        <v>86</v>
      </c>
      <c r="W25" s="19" t="s">
        <v>88</v>
      </c>
      <c r="X25" s="19" t="s">
        <v>89</v>
      </c>
      <c r="Y25" s="19" t="s">
        <v>220</v>
      </c>
    </row>
    <row r="26" ht="22.5" customHeight="1">
      <c r="A26" s="18">
        <v>46252.296979328705</v>
      </c>
      <c r="B26" s="19" t="s">
        <v>44</v>
      </c>
      <c r="C26" s="19" t="s">
        <v>63</v>
      </c>
      <c r="D26" s="19" t="s">
        <v>87</v>
      </c>
      <c r="E26" s="19" t="s">
        <v>104</v>
      </c>
      <c r="F26" s="19" t="s">
        <v>11</v>
      </c>
      <c r="G26" s="19">
        <v>4.0</v>
      </c>
      <c r="H26" s="19" t="s">
        <v>72</v>
      </c>
      <c r="I26" s="19" t="s">
        <v>11</v>
      </c>
      <c r="J26" s="19" t="s">
        <v>100</v>
      </c>
      <c r="K26" s="19" t="s">
        <v>101</v>
      </c>
      <c r="L26" s="19" t="s">
        <v>102</v>
      </c>
      <c r="M26" s="19" t="s">
        <v>158</v>
      </c>
      <c r="N26" s="19" t="s">
        <v>100</v>
      </c>
      <c r="O26" s="19" t="s">
        <v>52</v>
      </c>
      <c r="P26" s="19">
        <v>4.0</v>
      </c>
      <c r="Q26" s="19" t="s">
        <v>44</v>
      </c>
      <c r="R26" s="19" t="s">
        <v>114</v>
      </c>
      <c r="S26" s="19" t="s">
        <v>81</v>
      </c>
      <c r="T26" s="19" t="s">
        <v>127</v>
      </c>
      <c r="U26" s="19" t="s">
        <v>108</v>
      </c>
      <c r="V26" s="19" t="s">
        <v>223</v>
      </c>
      <c r="W26" s="19" t="s">
        <v>88</v>
      </c>
      <c r="X26" s="19" t="s">
        <v>144</v>
      </c>
      <c r="Z26" s="19" t="s">
        <v>224</v>
      </c>
    </row>
    <row r="27" ht="22.5" customHeight="1">
      <c r="A27" s="18">
        <v>46252.30175828704</v>
      </c>
      <c r="B27" s="19" t="s">
        <v>44</v>
      </c>
      <c r="C27" s="19" t="s">
        <v>63</v>
      </c>
      <c r="D27" s="19" t="s">
        <v>227</v>
      </c>
      <c r="E27" s="19" t="s">
        <v>97</v>
      </c>
      <c r="F27" s="19" t="s">
        <v>7</v>
      </c>
      <c r="G27" s="19">
        <v>5.0</v>
      </c>
      <c r="H27" s="19" t="s">
        <v>122</v>
      </c>
      <c r="I27" s="19" t="s">
        <v>7</v>
      </c>
      <c r="J27" s="19" t="s">
        <v>100</v>
      </c>
      <c r="K27" s="19" t="s">
        <v>101</v>
      </c>
      <c r="L27" s="19" t="s">
        <v>102</v>
      </c>
      <c r="M27" s="19" t="s">
        <v>103</v>
      </c>
      <c r="N27" s="19" t="s">
        <v>100</v>
      </c>
      <c r="O27" s="19" t="s">
        <v>52</v>
      </c>
      <c r="P27" s="19">
        <v>1.0</v>
      </c>
      <c r="Q27" s="19" t="s">
        <v>52</v>
      </c>
      <c r="R27" s="19" t="s">
        <v>80</v>
      </c>
      <c r="S27" s="19" t="s">
        <v>105</v>
      </c>
      <c r="T27" s="19" t="s">
        <v>106</v>
      </c>
      <c r="U27" s="19" t="s">
        <v>84</v>
      </c>
      <c r="V27" s="19" t="s">
        <v>86</v>
      </c>
      <c r="W27" s="19" t="s">
        <v>88</v>
      </c>
      <c r="X27" s="19" t="s">
        <v>144</v>
      </c>
      <c r="Z27" s="19" t="s">
        <v>229</v>
      </c>
    </row>
    <row r="28" ht="22.5" customHeight="1">
      <c r="A28" s="18">
        <v>46252.302480046295</v>
      </c>
      <c r="B28" s="19" t="s">
        <v>52</v>
      </c>
    </row>
    <row r="29" ht="22.5" customHeight="1">
      <c r="A29" s="18">
        <v>46252.32562225695</v>
      </c>
      <c r="B29" s="19" t="s">
        <v>52</v>
      </c>
    </row>
    <row r="30" ht="22.5" customHeight="1">
      <c r="A30" s="18">
        <v>46252.55429863426</v>
      </c>
      <c r="B30" s="19" t="s">
        <v>44</v>
      </c>
      <c r="C30" s="19" t="s">
        <v>63</v>
      </c>
      <c r="D30" s="19" t="s">
        <v>232</v>
      </c>
      <c r="E30" s="19" t="s">
        <v>97</v>
      </c>
      <c r="F30" s="19" t="s">
        <v>7</v>
      </c>
      <c r="G30" s="19">
        <v>5.0</v>
      </c>
      <c r="H30" s="19" t="s">
        <v>122</v>
      </c>
      <c r="I30" s="19" t="s">
        <v>7</v>
      </c>
      <c r="J30" s="19" t="s">
        <v>100</v>
      </c>
      <c r="K30" s="19" t="s">
        <v>101</v>
      </c>
      <c r="L30" s="19">
        <v>1.0</v>
      </c>
      <c r="M30" s="19" t="s">
        <v>103</v>
      </c>
      <c r="N30" s="19" t="s">
        <v>100</v>
      </c>
      <c r="O30" s="19" t="s">
        <v>52</v>
      </c>
      <c r="P30" s="19">
        <v>3.0</v>
      </c>
      <c r="Q30" s="19" t="s">
        <v>52</v>
      </c>
      <c r="R30" s="19" t="s">
        <v>80</v>
      </c>
      <c r="S30" s="19" t="s">
        <v>132</v>
      </c>
      <c r="T30" s="19" t="s">
        <v>127</v>
      </c>
      <c r="U30" s="19" t="s">
        <v>84</v>
      </c>
      <c r="V30" s="19" t="s">
        <v>86</v>
      </c>
      <c r="W30" s="19" t="s">
        <v>88</v>
      </c>
      <c r="X30" s="19" t="s">
        <v>162</v>
      </c>
    </row>
    <row r="31" ht="22.5" customHeight="1">
      <c r="A31" s="18">
        <v>46252.776394872686</v>
      </c>
      <c r="B31" s="19" t="s">
        <v>52</v>
      </c>
    </row>
    <row r="32" ht="22.5" customHeight="1">
      <c r="A32" s="18">
        <v>46252.77652457176</v>
      </c>
      <c r="B32" s="19" t="s">
        <v>52</v>
      </c>
    </row>
    <row r="33" ht="22.5" customHeight="1">
      <c r="A33" s="18">
        <v>46253.9195081713</v>
      </c>
      <c r="B33" s="19" t="s">
        <v>44</v>
      </c>
      <c r="C33" s="19" t="s">
        <v>63</v>
      </c>
      <c r="D33" s="19" t="s">
        <v>233</v>
      </c>
      <c r="E33" s="19" t="s">
        <v>71</v>
      </c>
      <c r="F33" s="19" t="s">
        <v>7</v>
      </c>
      <c r="G33" s="19">
        <v>5.0</v>
      </c>
      <c r="H33" s="19" t="s">
        <v>122</v>
      </c>
      <c r="I33" s="19" t="s">
        <v>7</v>
      </c>
      <c r="J33" s="19" t="s">
        <v>100</v>
      </c>
      <c r="K33" s="19" t="s">
        <v>101</v>
      </c>
      <c r="L33" s="19" t="s">
        <v>102</v>
      </c>
      <c r="M33" s="19" t="s">
        <v>103</v>
      </c>
      <c r="N33" s="19" t="s">
        <v>123</v>
      </c>
      <c r="O33" s="19" t="s">
        <v>52</v>
      </c>
      <c r="P33" s="19">
        <v>5.0</v>
      </c>
      <c r="Q33" s="19" t="s">
        <v>44</v>
      </c>
      <c r="R33" s="19" t="s">
        <v>170</v>
      </c>
      <c r="S33" s="19" t="s">
        <v>115</v>
      </c>
      <c r="T33" s="19" t="s">
        <v>234</v>
      </c>
      <c r="U33" s="19" t="s">
        <v>152</v>
      </c>
      <c r="V33" s="19" t="s">
        <v>128</v>
      </c>
      <c r="W33" s="19" t="s">
        <v>88</v>
      </c>
      <c r="X33" s="19" t="s">
        <v>144</v>
      </c>
    </row>
    <row r="34" ht="22.5" customHeight="1">
      <c r="A34" s="18">
        <v>46253.920038854165</v>
      </c>
      <c r="B34" s="19" t="s">
        <v>44</v>
      </c>
      <c r="C34" s="19" t="s">
        <v>63</v>
      </c>
      <c r="D34" s="19" t="s">
        <v>235</v>
      </c>
      <c r="E34" s="19" t="s">
        <v>97</v>
      </c>
      <c r="F34" s="19" t="s">
        <v>11</v>
      </c>
      <c r="G34" s="19">
        <v>3.0</v>
      </c>
      <c r="H34" s="19" t="s">
        <v>72</v>
      </c>
      <c r="I34" s="19" t="s">
        <v>11</v>
      </c>
      <c r="J34" s="19" t="s">
        <v>75</v>
      </c>
      <c r="K34" s="19" t="s">
        <v>124</v>
      </c>
      <c r="L34" s="19" t="s">
        <v>102</v>
      </c>
      <c r="M34" s="19" t="s">
        <v>103</v>
      </c>
      <c r="N34" s="19" t="s">
        <v>78</v>
      </c>
      <c r="O34" s="19" t="s">
        <v>44</v>
      </c>
      <c r="P34" s="19">
        <v>1.0</v>
      </c>
      <c r="Q34" s="19" t="s">
        <v>52</v>
      </c>
      <c r="R34" s="19" t="s">
        <v>114</v>
      </c>
      <c r="S34" s="19" t="s">
        <v>81</v>
      </c>
      <c r="T34" s="19" t="s">
        <v>236</v>
      </c>
      <c r="U34" s="19" t="s">
        <v>152</v>
      </c>
      <c r="V34" s="19" t="s">
        <v>86</v>
      </c>
      <c r="W34" s="19" t="s">
        <v>88</v>
      </c>
      <c r="X34" s="19" t="s">
        <v>89</v>
      </c>
    </row>
    <row r="35" ht="22.5" customHeight="1">
      <c r="A35" s="18">
        <v>46253.920701863426</v>
      </c>
      <c r="B35" s="19" t="s">
        <v>44</v>
      </c>
      <c r="C35" s="19" t="s">
        <v>66</v>
      </c>
      <c r="D35" s="19" t="s">
        <v>237</v>
      </c>
      <c r="E35" s="19" t="s">
        <v>71</v>
      </c>
      <c r="F35" s="19" t="s">
        <v>7</v>
      </c>
      <c r="G35" s="19">
        <v>4.0</v>
      </c>
      <c r="H35" s="19" t="s">
        <v>122</v>
      </c>
      <c r="I35" s="19" t="s">
        <v>11</v>
      </c>
      <c r="J35" s="19" t="s">
        <v>139</v>
      </c>
      <c r="K35" s="19" t="s">
        <v>124</v>
      </c>
      <c r="L35" s="19">
        <v>1.0</v>
      </c>
      <c r="M35" s="19" t="s">
        <v>77</v>
      </c>
      <c r="N35" s="19" t="s">
        <v>100</v>
      </c>
      <c r="O35" s="19" t="s">
        <v>52</v>
      </c>
      <c r="P35" s="19">
        <v>2.0</v>
      </c>
      <c r="Q35" s="19" t="s">
        <v>44</v>
      </c>
      <c r="R35" s="19" t="s">
        <v>114</v>
      </c>
      <c r="S35" s="19" t="s">
        <v>178</v>
      </c>
      <c r="T35" s="19" t="s">
        <v>238</v>
      </c>
      <c r="U35" s="19" t="s">
        <v>84</v>
      </c>
      <c r="V35" s="19" t="s">
        <v>239</v>
      </c>
      <c r="W35" s="19" t="s">
        <v>88</v>
      </c>
      <c r="X35" s="19" t="s">
        <v>144</v>
      </c>
      <c r="Y35" s="19" t="s">
        <v>240</v>
      </c>
      <c r="Z35" s="19" t="s">
        <v>241</v>
      </c>
    </row>
    <row r="36" ht="22.5" customHeight="1">
      <c r="A36" s="18">
        <v>46253.921852175925</v>
      </c>
      <c r="B36" s="19" t="s">
        <v>44</v>
      </c>
      <c r="C36" s="19" t="s">
        <v>66</v>
      </c>
      <c r="D36" s="19" t="s">
        <v>242</v>
      </c>
      <c r="E36" s="19" t="s">
        <v>104</v>
      </c>
      <c r="F36" s="19" t="s">
        <v>12</v>
      </c>
      <c r="G36" s="19">
        <v>2.0</v>
      </c>
      <c r="H36" s="19" t="s">
        <v>72</v>
      </c>
      <c r="I36" s="19" t="s">
        <v>13</v>
      </c>
      <c r="J36" s="19" t="s">
        <v>123</v>
      </c>
      <c r="K36" s="19" t="s">
        <v>143</v>
      </c>
      <c r="L36" s="19" t="s">
        <v>102</v>
      </c>
      <c r="M36" s="19" t="s">
        <v>103</v>
      </c>
      <c r="N36" s="19" t="s">
        <v>141</v>
      </c>
      <c r="O36" s="19" t="s">
        <v>52</v>
      </c>
      <c r="P36" s="19">
        <v>1.0</v>
      </c>
      <c r="Q36" s="19" t="s">
        <v>44</v>
      </c>
      <c r="R36" s="19" t="s">
        <v>114</v>
      </c>
      <c r="S36" s="19" t="s">
        <v>81</v>
      </c>
      <c r="T36" s="19" t="s">
        <v>172</v>
      </c>
      <c r="U36" s="19" t="s">
        <v>84</v>
      </c>
      <c r="V36" s="19" t="s">
        <v>161</v>
      </c>
      <c r="W36" s="19" t="s">
        <v>193</v>
      </c>
      <c r="X36" s="19" t="s">
        <v>144</v>
      </c>
    </row>
    <row r="37" ht="22.5" customHeight="1">
      <c r="A37" s="18">
        <v>46253.92440072917</v>
      </c>
      <c r="B37" s="19" t="s">
        <v>44</v>
      </c>
      <c r="C37" s="19" t="s">
        <v>63</v>
      </c>
      <c r="D37" s="19" t="s">
        <v>90</v>
      </c>
      <c r="E37" s="19" t="s">
        <v>71</v>
      </c>
      <c r="F37" s="19" t="s">
        <v>7</v>
      </c>
      <c r="G37" s="19">
        <v>5.0</v>
      </c>
      <c r="H37" s="19" t="s">
        <v>72</v>
      </c>
      <c r="I37" s="19" t="s">
        <v>7</v>
      </c>
      <c r="J37" s="19" t="s">
        <v>100</v>
      </c>
      <c r="K37" s="19" t="s">
        <v>101</v>
      </c>
      <c r="L37" s="19" t="s">
        <v>102</v>
      </c>
      <c r="M37" s="19" t="s">
        <v>103</v>
      </c>
      <c r="N37" s="19" t="s">
        <v>78</v>
      </c>
      <c r="O37" s="19" t="s">
        <v>52</v>
      </c>
      <c r="P37" s="19">
        <v>2.0</v>
      </c>
      <c r="Q37" s="19" t="s">
        <v>44</v>
      </c>
      <c r="R37" s="19" t="s">
        <v>114</v>
      </c>
      <c r="S37" s="19" t="s">
        <v>81</v>
      </c>
      <c r="T37" s="19" t="s">
        <v>243</v>
      </c>
      <c r="U37" s="19" t="s">
        <v>134</v>
      </c>
      <c r="V37" s="19" t="s">
        <v>128</v>
      </c>
      <c r="W37" s="19" t="s">
        <v>88</v>
      </c>
      <c r="X37" s="19" t="s">
        <v>144</v>
      </c>
      <c r="Z37" s="19" t="s">
        <v>244</v>
      </c>
    </row>
    <row r="38" ht="22.5" customHeight="1">
      <c r="A38" s="18">
        <v>46253.925319490736</v>
      </c>
      <c r="B38" s="19" t="s">
        <v>44</v>
      </c>
      <c r="C38" s="19" t="s">
        <v>63</v>
      </c>
      <c r="D38" s="19" t="s">
        <v>245</v>
      </c>
      <c r="E38" s="19" t="s">
        <v>97</v>
      </c>
      <c r="F38" s="19" t="s">
        <v>7</v>
      </c>
      <c r="G38" s="19">
        <v>5.0</v>
      </c>
      <c r="H38" s="19" t="s">
        <v>122</v>
      </c>
      <c r="I38" s="19" t="s">
        <v>7</v>
      </c>
      <c r="J38" s="19" t="s">
        <v>75</v>
      </c>
      <c r="K38" s="19" t="s">
        <v>76</v>
      </c>
      <c r="L38" s="19">
        <v>2.0</v>
      </c>
      <c r="M38" s="19" t="s">
        <v>103</v>
      </c>
      <c r="N38" s="19" t="s">
        <v>100</v>
      </c>
      <c r="O38" s="19" t="s">
        <v>52</v>
      </c>
      <c r="P38" s="19">
        <v>1.0</v>
      </c>
      <c r="Q38" s="19" t="s">
        <v>52</v>
      </c>
      <c r="R38" s="19" t="s">
        <v>80</v>
      </c>
      <c r="S38" s="19" t="s">
        <v>132</v>
      </c>
      <c r="T38" s="19" t="s">
        <v>106</v>
      </c>
      <c r="U38" s="19" t="s">
        <v>152</v>
      </c>
      <c r="V38" s="19" t="s">
        <v>128</v>
      </c>
      <c r="W38" s="19" t="s">
        <v>88</v>
      </c>
      <c r="X38" s="19" t="s">
        <v>144</v>
      </c>
      <c r="Y38" s="19" t="s">
        <v>246</v>
      </c>
      <c r="Z38" s="19" t="s">
        <v>247</v>
      </c>
    </row>
    <row r="39" ht="22.5" customHeight="1">
      <c r="A39" s="18">
        <v>46253.92599787037</v>
      </c>
      <c r="B39" s="19" t="s">
        <v>44</v>
      </c>
      <c r="C39" s="19" t="s">
        <v>63</v>
      </c>
      <c r="D39" s="19" t="s">
        <v>79</v>
      </c>
      <c r="E39" s="19" t="s">
        <v>97</v>
      </c>
      <c r="F39" s="19" t="s">
        <v>7</v>
      </c>
      <c r="G39" s="19">
        <v>5.0</v>
      </c>
      <c r="H39" s="19" t="s">
        <v>72</v>
      </c>
      <c r="I39" s="19" t="s">
        <v>7</v>
      </c>
      <c r="J39" s="19" t="s">
        <v>139</v>
      </c>
      <c r="K39" s="19" t="s">
        <v>101</v>
      </c>
      <c r="L39" s="19" t="s">
        <v>102</v>
      </c>
      <c r="M39" s="19" t="s">
        <v>103</v>
      </c>
      <c r="N39" s="19" t="s">
        <v>123</v>
      </c>
      <c r="O39" s="19" t="s">
        <v>44</v>
      </c>
      <c r="P39" s="19">
        <v>4.0</v>
      </c>
      <c r="Q39" s="19" t="s">
        <v>52</v>
      </c>
      <c r="R39" s="19" t="s">
        <v>114</v>
      </c>
      <c r="S39" s="19" t="s">
        <v>105</v>
      </c>
      <c r="T39" s="19" t="s">
        <v>248</v>
      </c>
      <c r="U39" s="19" t="s">
        <v>84</v>
      </c>
      <c r="V39" s="19" t="s">
        <v>119</v>
      </c>
      <c r="W39" s="19" t="s">
        <v>88</v>
      </c>
      <c r="X39" s="19" t="s">
        <v>144</v>
      </c>
    </row>
    <row r="40" ht="22.5" customHeight="1">
      <c r="A40" s="18">
        <v>46253.92768957176</v>
      </c>
      <c r="B40" s="19" t="s">
        <v>44</v>
      </c>
      <c r="C40" s="19" t="s">
        <v>63</v>
      </c>
      <c r="D40" s="19" t="s">
        <v>249</v>
      </c>
      <c r="E40" s="19" t="s">
        <v>97</v>
      </c>
      <c r="F40" s="19" t="s">
        <v>11</v>
      </c>
      <c r="G40" s="19">
        <v>5.0</v>
      </c>
      <c r="H40" s="19" t="s">
        <v>98</v>
      </c>
      <c r="I40" s="19" t="s">
        <v>11</v>
      </c>
      <c r="J40" s="19" t="s">
        <v>75</v>
      </c>
      <c r="K40" s="19" t="s">
        <v>76</v>
      </c>
      <c r="L40" s="19">
        <v>1.0</v>
      </c>
      <c r="M40" s="19" t="s">
        <v>149</v>
      </c>
      <c r="N40" s="19" t="s">
        <v>78</v>
      </c>
      <c r="O40" s="19" t="s">
        <v>52</v>
      </c>
      <c r="P40" s="19">
        <v>2.0</v>
      </c>
      <c r="Q40" s="19" t="s">
        <v>44</v>
      </c>
      <c r="R40" s="19" t="s">
        <v>114</v>
      </c>
      <c r="S40" s="19" t="s">
        <v>132</v>
      </c>
      <c r="T40" s="19" t="s">
        <v>127</v>
      </c>
      <c r="U40" s="19" t="s">
        <v>84</v>
      </c>
      <c r="V40" s="19" t="s">
        <v>161</v>
      </c>
      <c r="W40" s="19" t="s">
        <v>88</v>
      </c>
      <c r="X40" s="19" t="s">
        <v>89</v>
      </c>
      <c r="Y40" s="19" t="s">
        <v>250</v>
      </c>
      <c r="Z40" s="19" t="s">
        <v>251</v>
      </c>
    </row>
    <row r="41" ht="22.5" customHeight="1">
      <c r="A41" s="18">
        <v>46253.92809033565</v>
      </c>
      <c r="B41" s="19" t="s">
        <v>44</v>
      </c>
      <c r="C41" s="19" t="s">
        <v>66</v>
      </c>
      <c r="D41" s="19" t="s">
        <v>252</v>
      </c>
      <c r="E41" s="19" t="s">
        <v>71</v>
      </c>
      <c r="F41" s="19" t="s">
        <v>11</v>
      </c>
      <c r="G41" s="19">
        <v>3.0</v>
      </c>
      <c r="H41" s="19" t="s">
        <v>72</v>
      </c>
      <c r="I41" s="19" t="s">
        <v>12</v>
      </c>
      <c r="J41" s="19" t="s">
        <v>123</v>
      </c>
      <c r="K41" s="19" t="s">
        <v>124</v>
      </c>
      <c r="L41" s="19" t="s">
        <v>102</v>
      </c>
      <c r="M41" s="19" t="s">
        <v>103</v>
      </c>
      <c r="N41" s="19" t="s">
        <v>123</v>
      </c>
      <c r="O41" s="19" t="s">
        <v>52</v>
      </c>
      <c r="P41" s="19">
        <v>1.0</v>
      </c>
      <c r="Q41" s="19" t="s">
        <v>44</v>
      </c>
      <c r="R41" s="19" t="s">
        <v>171</v>
      </c>
      <c r="S41" s="19" t="s">
        <v>105</v>
      </c>
      <c r="T41" s="19" t="s">
        <v>186</v>
      </c>
      <c r="U41" s="19" t="s">
        <v>84</v>
      </c>
      <c r="V41" s="19" t="s">
        <v>128</v>
      </c>
      <c r="W41" s="19" t="s">
        <v>88</v>
      </c>
      <c r="X41" s="19" t="s">
        <v>144</v>
      </c>
      <c r="Z41" s="19" t="s">
        <v>253</v>
      </c>
    </row>
    <row r="42" ht="22.5" customHeight="1">
      <c r="A42" s="18">
        <v>46253.928177546295</v>
      </c>
      <c r="B42" s="19" t="s">
        <v>52</v>
      </c>
    </row>
    <row r="43" ht="22.5" customHeight="1">
      <c r="A43" s="18">
        <v>46253.93138568287</v>
      </c>
      <c r="B43" s="19" t="s">
        <v>44</v>
      </c>
      <c r="C43" s="19" t="s">
        <v>63</v>
      </c>
      <c r="D43" s="19" t="s">
        <v>254</v>
      </c>
      <c r="E43" s="19" t="s">
        <v>97</v>
      </c>
      <c r="F43" s="19" t="s">
        <v>14</v>
      </c>
      <c r="G43" s="19">
        <v>1.0</v>
      </c>
      <c r="H43" s="19" t="s">
        <v>72</v>
      </c>
      <c r="I43" s="19" t="s">
        <v>7</v>
      </c>
      <c r="J43" s="19" t="s">
        <v>75</v>
      </c>
      <c r="K43" s="19" t="s">
        <v>124</v>
      </c>
      <c r="L43" s="19">
        <v>1.0</v>
      </c>
      <c r="M43" s="19" t="s">
        <v>77</v>
      </c>
      <c r="N43" s="19" t="s">
        <v>78</v>
      </c>
      <c r="O43" s="19" t="s">
        <v>44</v>
      </c>
      <c r="P43" s="19">
        <v>2.0</v>
      </c>
      <c r="Q43" s="19" t="s">
        <v>44</v>
      </c>
      <c r="R43" s="19" t="s">
        <v>170</v>
      </c>
      <c r="S43" s="19" t="s">
        <v>81</v>
      </c>
      <c r="T43" s="19" t="s">
        <v>255</v>
      </c>
      <c r="U43" s="19" t="s">
        <v>84</v>
      </c>
      <c r="V43" s="19" t="s">
        <v>119</v>
      </c>
      <c r="W43" s="19" t="s">
        <v>120</v>
      </c>
      <c r="X43" s="19" t="s">
        <v>89</v>
      </c>
      <c r="Y43" s="19" t="s">
        <v>256</v>
      </c>
      <c r="Z43" s="19" t="s">
        <v>257</v>
      </c>
    </row>
    <row r="44" ht="22.5" customHeight="1">
      <c r="A44" s="18">
        <v>46253.93975841435</v>
      </c>
      <c r="B44" s="19" t="s">
        <v>52</v>
      </c>
    </row>
    <row r="45" ht="22.5" customHeight="1">
      <c r="A45" s="18">
        <v>46253.95532341435</v>
      </c>
      <c r="B45" s="19" t="s">
        <v>44</v>
      </c>
      <c r="C45" s="19" t="s">
        <v>63</v>
      </c>
      <c r="D45" s="19" t="s">
        <v>79</v>
      </c>
      <c r="E45" s="19" t="s">
        <v>97</v>
      </c>
      <c r="F45" s="19" t="s">
        <v>7</v>
      </c>
      <c r="G45" s="19">
        <v>5.0</v>
      </c>
      <c r="H45" s="19" t="s">
        <v>122</v>
      </c>
      <c r="I45" s="19" t="s">
        <v>7</v>
      </c>
      <c r="J45" s="19" t="s">
        <v>100</v>
      </c>
      <c r="K45" s="19" t="s">
        <v>101</v>
      </c>
      <c r="L45" s="19" t="s">
        <v>102</v>
      </c>
      <c r="M45" s="19" t="s">
        <v>103</v>
      </c>
      <c r="N45" s="19" t="s">
        <v>100</v>
      </c>
      <c r="O45" s="19" t="s">
        <v>52</v>
      </c>
      <c r="P45" s="19">
        <v>3.0</v>
      </c>
      <c r="Q45" s="19" t="s">
        <v>52</v>
      </c>
      <c r="R45" s="19" t="s">
        <v>80</v>
      </c>
      <c r="S45" s="19" t="s">
        <v>115</v>
      </c>
      <c r="T45" s="19" t="s">
        <v>127</v>
      </c>
      <c r="U45" s="19" t="s">
        <v>152</v>
      </c>
      <c r="V45" s="19" t="s">
        <v>86</v>
      </c>
      <c r="W45" s="19" t="s">
        <v>88</v>
      </c>
      <c r="X45" s="19" t="s">
        <v>144</v>
      </c>
    </row>
    <row r="46" ht="22.5" customHeight="1">
      <c r="A46" s="18">
        <v>46254.08812305555</v>
      </c>
      <c r="B46" s="19" t="s">
        <v>44</v>
      </c>
      <c r="C46" s="19" t="s">
        <v>63</v>
      </c>
      <c r="D46" s="19" t="s">
        <v>258</v>
      </c>
      <c r="E46" s="19" t="s">
        <v>97</v>
      </c>
      <c r="F46" s="19" t="s">
        <v>11</v>
      </c>
      <c r="G46" s="19">
        <v>5.0</v>
      </c>
      <c r="H46" s="19" t="s">
        <v>122</v>
      </c>
      <c r="I46" s="19" t="s">
        <v>11</v>
      </c>
      <c r="J46" s="19" t="s">
        <v>123</v>
      </c>
      <c r="K46" s="19" t="s">
        <v>76</v>
      </c>
      <c r="L46" s="19" t="s">
        <v>102</v>
      </c>
      <c r="M46" s="19" t="s">
        <v>103</v>
      </c>
      <c r="N46" s="19" t="s">
        <v>123</v>
      </c>
      <c r="O46" s="19" t="s">
        <v>44</v>
      </c>
      <c r="P46" s="19">
        <v>1.0</v>
      </c>
      <c r="Q46" s="19" t="s">
        <v>52</v>
      </c>
      <c r="R46" s="19" t="s">
        <v>80</v>
      </c>
      <c r="S46" s="19" t="s">
        <v>105</v>
      </c>
      <c r="T46" s="19" t="s">
        <v>127</v>
      </c>
      <c r="U46" s="19" t="s">
        <v>84</v>
      </c>
      <c r="V46" s="19" t="s">
        <v>128</v>
      </c>
      <c r="W46" s="19" t="s">
        <v>88</v>
      </c>
      <c r="X46" s="19" t="s">
        <v>144</v>
      </c>
    </row>
    <row r="47" ht="22.5" customHeight="1">
      <c r="A47" s="18">
        <v>46254.584512581016</v>
      </c>
      <c r="B47" s="19" t="s">
        <v>44</v>
      </c>
      <c r="C47" s="19" t="s">
        <v>66</v>
      </c>
      <c r="D47" s="19" t="s">
        <v>259</v>
      </c>
      <c r="E47" s="19" t="s">
        <v>71</v>
      </c>
      <c r="F47" s="19" t="s">
        <v>7</v>
      </c>
      <c r="G47" s="19">
        <v>5.0</v>
      </c>
      <c r="H47" s="19" t="s">
        <v>122</v>
      </c>
      <c r="I47" s="19" t="s">
        <v>7</v>
      </c>
      <c r="J47" s="19" t="s">
        <v>123</v>
      </c>
      <c r="K47" s="19" t="s">
        <v>76</v>
      </c>
      <c r="L47" s="19">
        <v>1.0</v>
      </c>
      <c r="M47" s="19" t="s">
        <v>149</v>
      </c>
      <c r="N47" s="19" t="s">
        <v>78</v>
      </c>
      <c r="O47" s="19" t="s">
        <v>52</v>
      </c>
      <c r="P47" s="19">
        <v>3.0</v>
      </c>
      <c r="Q47" s="19" t="s">
        <v>44</v>
      </c>
      <c r="R47" s="19" t="s">
        <v>114</v>
      </c>
      <c r="S47" s="19" t="s">
        <v>132</v>
      </c>
      <c r="T47" s="19" t="s">
        <v>127</v>
      </c>
      <c r="U47" s="19" t="s">
        <v>84</v>
      </c>
      <c r="V47" s="19" t="s">
        <v>86</v>
      </c>
      <c r="W47" s="19" t="s">
        <v>88</v>
      </c>
      <c r="X47" s="19" t="s">
        <v>144</v>
      </c>
      <c r="Z47" s="19" t="s">
        <v>260</v>
      </c>
    </row>
    <row r="48" ht="22.5" customHeight="1">
      <c r="A48" s="18">
        <v>46254.61058327546</v>
      </c>
      <c r="B48" s="19" t="s">
        <v>44</v>
      </c>
      <c r="C48" s="19" t="s">
        <v>63</v>
      </c>
      <c r="D48" s="19" t="s">
        <v>261</v>
      </c>
      <c r="E48" s="19" t="s">
        <v>97</v>
      </c>
      <c r="F48" s="19" t="s">
        <v>7</v>
      </c>
      <c r="G48" s="19">
        <v>5.0</v>
      </c>
      <c r="H48" s="19" t="s">
        <v>72</v>
      </c>
      <c r="I48" s="19" t="s">
        <v>7</v>
      </c>
      <c r="J48" s="19" t="s">
        <v>75</v>
      </c>
      <c r="K48" s="19" t="s">
        <v>76</v>
      </c>
      <c r="L48" s="19" t="s">
        <v>102</v>
      </c>
      <c r="M48" s="19" t="s">
        <v>103</v>
      </c>
      <c r="N48" s="19" t="s">
        <v>78</v>
      </c>
      <c r="O48" s="19" t="s">
        <v>44</v>
      </c>
      <c r="P48" s="19">
        <v>3.0</v>
      </c>
      <c r="Q48" s="19" t="s">
        <v>44</v>
      </c>
      <c r="R48" s="19" t="s">
        <v>170</v>
      </c>
      <c r="S48" s="19" t="s">
        <v>81</v>
      </c>
      <c r="T48" s="19" t="s">
        <v>262</v>
      </c>
      <c r="U48" s="19" t="s">
        <v>84</v>
      </c>
      <c r="V48" s="19" t="s">
        <v>223</v>
      </c>
      <c r="W48" s="19" t="s">
        <v>88</v>
      </c>
      <c r="X48" s="19" t="s">
        <v>144</v>
      </c>
    </row>
    <row r="49" ht="22.5" customHeight="1">
      <c r="A49" s="18">
        <v>46254.61385241898</v>
      </c>
      <c r="B49" s="19" t="s">
        <v>44</v>
      </c>
      <c r="C49" s="19" t="s">
        <v>63</v>
      </c>
      <c r="D49" s="19" t="s">
        <v>82</v>
      </c>
      <c r="E49" s="19" t="s">
        <v>104</v>
      </c>
      <c r="F49" s="19" t="s">
        <v>7</v>
      </c>
      <c r="G49" s="19">
        <v>4.0</v>
      </c>
      <c r="H49" s="19" t="s">
        <v>72</v>
      </c>
      <c r="I49" s="19" t="s">
        <v>7</v>
      </c>
      <c r="J49" s="19" t="s">
        <v>100</v>
      </c>
      <c r="K49" s="19" t="s">
        <v>101</v>
      </c>
      <c r="L49" s="19">
        <v>1.0</v>
      </c>
      <c r="M49" s="19" t="s">
        <v>77</v>
      </c>
      <c r="N49" s="19" t="s">
        <v>141</v>
      </c>
      <c r="O49" s="19" t="s">
        <v>52</v>
      </c>
      <c r="P49" s="19">
        <v>4.0</v>
      </c>
      <c r="Q49" s="19" t="s">
        <v>44</v>
      </c>
      <c r="R49" s="19" t="s">
        <v>114</v>
      </c>
      <c r="S49" s="19" t="s">
        <v>81</v>
      </c>
      <c r="T49" s="19" t="s">
        <v>255</v>
      </c>
      <c r="U49" s="19" t="s">
        <v>152</v>
      </c>
      <c r="V49" s="19" t="s">
        <v>86</v>
      </c>
      <c r="W49" s="19" t="s">
        <v>88</v>
      </c>
      <c r="X49" s="19" t="s">
        <v>144</v>
      </c>
    </row>
    <row r="50" ht="22.5" customHeight="1">
      <c r="A50" s="18">
        <v>46256.57543619213</v>
      </c>
      <c r="B50" s="19" t="s">
        <v>44</v>
      </c>
      <c r="C50" s="19" t="s">
        <v>66</v>
      </c>
      <c r="D50" s="19" t="s">
        <v>264</v>
      </c>
      <c r="E50" s="19" t="s">
        <v>71</v>
      </c>
      <c r="F50" s="19" t="s">
        <v>12</v>
      </c>
      <c r="G50" s="19">
        <v>4.0</v>
      </c>
      <c r="H50" s="19" t="s">
        <v>72</v>
      </c>
      <c r="I50" s="19" t="s">
        <v>12</v>
      </c>
      <c r="J50" s="19" t="s">
        <v>123</v>
      </c>
      <c r="K50" s="19" t="s">
        <v>76</v>
      </c>
      <c r="L50" s="19" t="s">
        <v>102</v>
      </c>
      <c r="M50" s="19" t="s">
        <v>77</v>
      </c>
      <c r="N50" s="19" t="s">
        <v>78</v>
      </c>
      <c r="O50" s="19" t="s">
        <v>52</v>
      </c>
      <c r="P50" s="19">
        <v>3.0</v>
      </c>
      <c r="Q50" s="19" t="s">
        <v>44</v>
      </c>
      <c r="R50" s="19" t="s">
        <v>170</v>
      </c>
      <c r="S50" s="19" t="s">
        <v>105</v>
      </c>
      <c r="T50" s="19" t="s">
        <v>151</v>
      </c>
      <c r="U50" s="19" t="s">
        <v>152</v>
      </c>
      <c r="V50" s="19" t="s">
        <v>86</v>
      </c>
      <c r="W50" s="19" t="s">
        <v>88</v>
      </c>
      <c r="X50" s="19" t="s">
        <v>109</v>
      </c>
      <c r="Z50" s="19" t="s">
        <v>267</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s>
  <sheetData>
    <row r="1">
      <c r="A1" s="1" t="s">
        <v>0</v>
      </c>
      <c r="B1" s="1" t="s">
        <v>2</v>
      </c>
      <c r="D1" s="3" t="s">
        <v>4</v>
      </c>
    </row>
    <row r="2">
      <c r="A2" s="5" t="s">
        <v>7</v>
      </c>
      <c r="B2" s="6">
        <v>7500.0</v>
      </c>
    </row>
    <row r="3">
      <c r="A3" s="5" t="s">
        <v>11</v>
      </c>
      <c r="B3" s="6">
        <v>15000.0</v>
      </c>
    </row>
    <row r="4">
      <c r="A4" s="5" t="s">
        <v>12</v>
      </c>
      <c r="B4" s="6">
        <v>27500.0</v>
      </c>
    </row>
    <row r="5">
      <c r="A5" s="5" t="s">
        <v>13</v>
      </c>
      <c r="B5" s="6">
        <v>42500.0</v>
      </c>
    </row>
    <row r="6">
      <c r="A6" s="5" t="s">
        <v>14</v>
      </c>
      <c r="B6" s="6">
        <v>65000.0</v>
      </c>
    </row>
    <row r="7">
      <c r="A7" s="5" t="s">
        <v>15</v>
      </c>
      <c r="B7" s="6">
        <v>95000.0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21.38"/>
  </cols>
  <sheetData>
    <row r="1">
      <c r="A1" s="2" t="s">
        <v>1</v>
      </c>
      <c r="B1" s="2" t="s">
        <v>5</v>
      </c>
      <c r="C1" s="2" t="s">
        <v>6</v>
      </c>
      <c r="D1" s="2" t="s">
        <v>8</v>
      </c>
      <c r="E1" s="2" t="s">
        <v>9</v>
      </c>
    </row>
    <row r="2">
      <c r="A2" s="9">
        <f t="array" ref="A2:A150">IFERROR(VLOOKUP(INDIRECT("'Respuestas de formulario 1'!F2:F"), Mapa!$A:$B, 2, FALSE), "")</f>
        <v>42500</v>
      </c>
      <c r="B2" s="9">
        <f t="array" ref="B2:B150">IFERROR(VLOOKUP(INDIRECT("'Respuestas de formulario 1'!I2:I"), Mapa!$A:$B, 2, FALSE), "")</f>
        <v>95000</v>
      </c>
      <c r="C2" s="9">
        <f t="array" ref="C2:C1000">IF((A2:A1000&lt;&gt;"")*(B2:B1000&lt;&gt;""), B2:B1000-A2:A1000, "")</f>
        <v>52500</v>
      </c>
      <c r="D2" s="9">
        <f t="array" ref="D2:D1000">IF(C2:C1000="", "", A2:A1000)</f>
        <v>42500</v>
      </c>
      <c r="E2" s="9">
        <f t="array" ref="E2:E1000">IF(C2:C1000="", "", B2:B1000)</f>
        <v>95000</v>
      </c>
    </row>
    <row r="3">
      <c r="A3" s="9">
        <v>7500.0</v>
      </c>
      <c r="B3" s="9">
        <v>7500.0</v>
      </c>
      <c r="C3" s="9">
        <v>0.0</v>
      </c>
      <c r="D3" s="9">
        <v>7500.0</v>
      </c>
      <c r="E3" s="9">
        <v>7500.0</v>
      </c>
    </row>
    <row r="4">
      <c r="A4" s="9">
        <v>65000.0</v>
      </c>
      <c r="B4" s="9" t="s">
        <v>145</v>
      </c>
      <c r="C4" s="9" t="s">
        <v>145</v>
      </c>
      <c r="D4" s="9" t="s">
        <v>145</v>
      </c>
      <c r="E4" s="9" t="s">
        <v>145</v>
      </c>
    </row>
    <row r="5">
      <c r="A5" s="9" t="s">
        <v>145</v>
      </c>
      <c r="B5" s="9" t="s">
        <v>145</v>
      </c>
      <c r="C5" s="9" t="s">
        <v>145</v>
      </c>
      <c r="D5" s="9" t="s">
        <v>145</v>
      </c>
      <c r="E5" s="9" t="s">
        <v>145</v>
      </c>
    </row>
    <row r="6">
      <c r="A6" s="9" t="s">
        <v>145</v>
      </c>
      <c r="B6" s="9" t="s">
        <v>145</v>
      </c>
      <c r="C6" s="9" t="s">
        <v>145</v>
      </c>
      <c r="D6" s="9" t="s">
        <v>145</v>
      </c>
      <c r="E6" s="9" t="s">
        <v>145</v>
      </c>
    </row>
    <row r="7">
      <c r="A7" s="9">
        <v>7500.0</v>
      </c>
      <c r="B7" s="9">
        <v>7500.0</v>
      </c>
      <c r="C7" s="9">
        <v>0.0</v>
      </c>
      <c r="D7" s="9">
        <v>7500.0</v>
      </c>
      <c r="E7" s="9">
        <v>7500.0</v>
      </c>
    </row>
    <row r="8">
      <c r="A8" s="9">
        <v>42500.0</v>
      </c>
      <c r="B8" s="9">
        <v>65000.0</v>
      </c>
      <c r="C8" s="9">
        <v>22500.0</v>
      </c>
      <c r="D8" s="9">
        <v>42500.0</v>
      </c>
      <c r="E8" s="9">
        <v>65000.0</v>
      </c>
    </row>
    <row r="9">
      <c r="A9" s="9">
        <v>27500.0</v>
      </c>
      <c r="B9" s="9" t="s">
        <v>145</v>
      </c>
      <c r="C9" s="9" t="s">
        <v>145</v>
      </c>
      <c r="D9" s="9" t="s">
        <v>145</v>
      </c>
      <c r="E9" s="9" t="s">
        <v>145</v>
      </c>
    </row>
    <row r="10">
      <c r="A10" s="9">
        <v>15000.0</v>
      </c>
      <c r="B10" s="9">
        <v>27500.0</v>
      </c>
      <c r="C10" s="9">
        <v>12500.0</v>
      </c>
      <c r="D10" s="9">
        <v>15000.0</v>
      </c>
      <c r="E10" s="9">
        <v>27500.0</v>
      </c>
    </row>
    <row r="11">
      <c r="A11" s="9">
        <v>42500.0</v>
      </c>
      <c r="B11" s="9">
        <v>7500.0</v>
      </c>
      <c r="C11" s="9">
        <v>-35000.0</v>
      </c>
      <c r="D11" s="9">
        <v>42500.0</v>
      </c>
      <c r="E11" s="9">
        <v>7500.0</v>
      </c>
    </row>
    <row r="12">
      <c r="A12" s="9">
        <v>7500.0</v>
      </c>
      <c r="B12" s="9">
        <v>7500.0</v>
      </c>
      <c r="C12" s="9">
        <v>0.0</v>
      </c>
      <c r="D12" s="9">
        <v>7500.0</v>
      </c>
      <c r="E12" s="9">
        <v>7500.0</v>
      </c>
    </row>
    <row r="13">
      <c r="A13" s="9">
        <v>27500.0</v>
      </c>
      <c r="B13" s="9">
        <v>27500.0</v>
      </c>
      <c r="C13" s="9">
        <v>0.0</v>
      </c>
      <c r="D13" s="9">
        <v>27500.0</v>
      </c>
      <c r="E13" s="9">
        <v>27500.0</v>
      </c>
    </row>
    <row r="14">
      <c r="A14" s="9">
        <v>65000.0</v>
      </c>
      <c r="B14" s="9">
        <v>65000.0</v>
      </c>
      <c r="C14" s="9">
        <v>0.0</v>
      </c>
      <c r="D14" s="9">
        <v>65000.0</v>
      </c>
      <c r="E14" s="9">
        <v>65000.0</v>
      </c>
    </row>
    <row r="15">
      <c r="A15" s="9">
        <v>7500.0</v>
      </c>
      <c r="B15" s="9">
        <v>7500.0</v>
      </c>
      <c r="C15" s="9">
        <v>0.0</v>
      </c>
      <c r="D15" s="9">
        <v>7500.0</v>
      </c>
      <c r="E15" s="9">
        <v>7500.0</v>
      </c>
    </row>
    <row r="16">
      <c r="A16" s="9" t="s">
        <v>145</v>
      </c>
      <c r="B16" s="9" t="s">
        <v>145</v>
      </c>
      <c r="C16" s="9" t="s">
        <v>145</v>
      </c>
      <c r="D16" s="9" t="s">
        <v>145</v>
      </c>
      <c r="E16" s="9" t="s">
        <v>145</v>
      </c>
    </row>
    <row r="17">
      <c r="A17" s="9">
        <v>7500.0</v>
      </c>
      <c r="B17" s="9">
        <v>7500.0</v>
      </c>
      <c r="C17" s="9">
        <v>0.0</v>
      </c>
      <c r="D17" s="9">
        <v>7500.0</v>
      </c>
      <c r="E17" s="9">
        <v>7500.0</v>
      </c>
    </row>
    <row r="18">
      <c r="A18" s="9" t="s">
        <v>145</v>
      </c>
      <c r="B18" s="9" t="s">
        <v>145</v>
      </c>
      <c r="C18" s="9" t="s">
        <v>145</v>
      </c>
      <c r="D18" s="9" t="s">
        <v>145</v>
      </c>
      <c r="E18" s="9" t="s">
        <v>145</v>
      </c>
    </row>
    <row r="19">
      <c r="A19" s="9">
        <v>27500.0</v>
      </c>
      <c r="B19" s="9">
        <v>27500.0</v>
      </c>
      <c r="C19" s="9">
        <v>0.0</v>
      </c>
      <c r="D19" s="9">
        <v>27500.0</v>
      </c>
      <c r="E19" s="9">
        <v>27500.0</v>
      </c>
    </row>
    <row r="20">
      <c r="A20" s="9">
        <v>15000.0</v>
      </c>
      <c r="B20" s="9">
        <v>15000.0</v>
      </c>
      <c r="C20" s="9">
        <v>0.0</v>
      </c>
      <c r="D20" s="9">
        <v>15000.0</v>
      </c>
      <c r="E20" s="9">
        <v>15000.0</v>
      </c>
    </row>
    <row r="21">
      <c r="A21" s="9">
        <v>15000.0</v>
      </c>
      <c r="B21" s="9">
        <v>15000.0</v>
      </c>
      <c r="C21" s="9">
        <v>0.0</v>
      </c>
      <c r="D21" s="9">
        <v>15000.0</v>
      </c>
      <c r="E21" s="9">
        <v>15000.0</v>
      </c>
    </row>
    <row r="22">
      <c r="A22" s="9">
        <v>7500.0</v>
      </c>
      <c r="B22" s="9">
        <v>7500.0</v>
      </c>
      <c r="C22" s="9">
        <v>0.0</v>
      </c>
      <c r="D22" s="9">
        <v>7500.0</v>
      </c>
      <c r="E22" s="9">
        <v>7500.0</v>
      </c>
    </row>
    <row r="23">
      <c r="A23" s="9" t="s">
        <v>145</v>
      </c>
      <c r="B23" s="9" t="s">
        <v>145</v>
      </c>
      <c r="C23" s="9" t="s">
        <v>145</v>
      </c>
      <c r="D23" s="9" t="s">
        <v>145</v>
      </c>
      <c r="E23" s="9" t="s">
        <v>145</v>
      </c>
    </row>
    <row r="24">
      <c r="A24" s="9">
        <v>27500.0</v>
      </c>
      <c r="B24" s="9">
        <v>65000.0</v>
      </c>
      <c r="C24" s="9">
        <v>37500.0</v>
      </c>
      <c r="D24" s="9">
        <v>27500.0</v>
      </c>
      <c r="E24" s="9">
        <v>65000.0</v>
      </c>
    </row>
    <row r="25">
      <c r="A25" s="9">
        <v>42500.0</v>
      </c>
      <c r="B25" s="9">
        <v>42500.0</v>
      </c>
      <c r="C25" s="9">
        <v>0.0</v>
      </c>
      <c r="D25" s="9">
        <v>42500.0</v>
      </c>
      <c r="E25" s="9">
        <v>42500.0</v>
      </c>
    </row>
    <row r="26">
      <c r="A26" s="9">
        <v>15000.0</v>
      </c>
      <c r="B26" s="9">
        <v>15000.0</v>
      </c>
      <c r="C26" s="9">
        <v>0.0</v>
      </c>
      <c r="D26" s="9">
        <v>15000.0</v>
      </c>
      <c r="E26" s="9">
        <v>15000.0</v>
      </c>
    </row>
    <row r="27">
      <c r="A27" s="9">
        <v>7500.0</v>
      </c>
      <c r="B27" s="9">
        <v>7500.0</v>
      </c>
      <c r="C27" s="9">
        <v>0.0</v>
      </c>
      <c r="D27" s="9">
        <v>7500.0</v>
      </c>
      <c r="E27" s="9">
        <v>7500.0</v>
      </c>
    </row>
    <row r="28">
      <c r="A28" s="9" t="s">
        <v>145</v>
      </c>
      <c r="B28" s="9" t="s">
        <v>145</v>
      </c>
      <c r="C28" s="9" t="s">
        <v>145</v>
      </c>
      <c r="D28" s="9" t="s">
        <v>145</v>
      </c>
      <c r="E28" s="9" t="s">
        <v>145</v>
      </c>
    </row>
    <row r="29">
      <c r="A29" s="9" t="s">
        <v>145</v>
      </c>
      <c r="B29" s="9" t="s">
        <v>145</v>
      </c>
      <c r="C29" s="9" t="s">
        <v>145</v>
      </c>
      <c r="D29" s="9" t="s">
        <v>145</v>
      </c>
      <c r="E29" s="9" t="s">
        <v>145</v>
      </c>
    </row>
    <row r="30">
      <c r="A30" s="9">
        <v>7500.0</v>
      </c>
      <c r="B30" s="9">
        <v>7500.0</v>
      </c>
      <c r="C30" s="9">
        <v>0.0</v>
      </c>
      <c r="D30" s="9">
        <v>7500.0</v>
      </c>
      <c r="E30" s="9">
        <v>7500.0</v>
      </c>
    </row>
    <row r="31">
      <c r="A31" s="9" t="s">
        <v>145</v>
      </c>
      <c r="B31" s="9" t="s">
        <v>145</v>
      </c>
      <c r="C31" s="9" t="s">
        <v>145</v>
      </c>
      <c r="D31" s="9" t="s">
        <v>145</v>
      </c>
      <c r="E31" s="9" t="s">
        <v>145</v>
      </c>
    </row>
    <row r="32">
      <c r="A32" s="9" t="s">
        <v>145</v>
      </c>
      <c r="B32" s="9" t="s">
        <v>145</v>
      </c>
      <c r="C32" s="9" t="s">
        <v>145</v>
      </c>
      <c r="D32" s="9" t="s">
        <v>145</v>
      </c>
      <c r="E32" s="9" t="s">
        <v>145</v>
      </c>
    </row>
    <row r="33">
      <c r="A33" s="9">
        <v>7500.0</v>
      </c>
      <c r="B33" s="9">
        <v>7500.0</v>
      </c>
      <c r="C33" s="9">
        <v>0.0</v>
      </c>
      <c r="D33" s="9">
        <v>7500.0</v>
      </c>
      <c r="E33" s="9">
        <v>7500.0</v>
      </c>
    </row>
    <row r="34">
      <c r="A34" s="9">
        <v>15000.0</v>
      </c>
      <c r="B34" s="9">
        <v>15000.0</v>
      </c>
      <c r="C34" s="9">
        <v>0.0</v>
      </c>
      <c r="D34" s="9">
        <v>15000.0</v>
      </c>
      <c r="E34" s="9">
        <v>15000.0</v>
      </c>
    </row>
    <row r="35">
      <c r="A35" s="9">
        <v>7500.0</v>
      </c>
      <c r="B35" s="9">
        <v>15000.0</v>
      </c>
      <c r="C35" s="9">
        <v>7500.0</v>
      </c>
      <c r="D35" s="9">
        <v>7500.0</v>
      </c>
      <c r="E35" s="9">
        <v>15000.0</v>
      </c>
    </row>
    <row r="36">
      <c r="A36" s="9">
        <v>27500.0</v>
      </c>
      <c r="B36" s="9">
        <v>42500.0</v>
      </c>
      <c r="C36" s="9">
        <v>15000.0</v>
      </c>
      <c r="D36" s="9">
        <v>27500.0</v>
      </c>
      <c r="E36" s="9">
        <v>42500.0</v>
      </c>
    </row>
    <row r="37">
      <c r="A37" s="9">
        <v>7500.0</v>
      </c>
      <c r="B37" s="9">
        <v>7500.0</v>
      </c>
      <c r="C37" s="9">
        <v>0.0</v>
      </c>
      <c r="D37" s="9">
        <v>7500.0</v>
      </c>
      <c r="E37" s="9">
        <v>7500.0</v>
      </c>
    </row>
    <row r="38">
      <c r="A38" s="9">
        <v>7500.0</v>
      </c>
      <c r="B38" s="9">
        <v>7500.0</v>
      </c>
      <c r="C38" s="9">
        <v>0.0</v>
      </c>
      <c r="D38" s="9">
        <v>7500.0</v>
      </c>
      <c r="E38" s="9">
        <v>7500.0</v>
      </c>
    </row>
    <row r="39">
      <c r="A39" s="9">
        <v>7500.0</v>
      </c>
      <c r="B39" s="9">
        <v>7500.0</v>
      </c>
      <c r="C39" s="9">
        <v>0.0</v>
      </c>
      <c r="D39" s="9">
        <v>7500.0</v>
      </c>
      <c r="E39" s="9">
        <v>7500.0</v>
      </c>
    </row>
    <row r="40">
      <c r="A40" s="9">
        <v>15000.0</v>
      </c>
      <c r="B40" s="9">
        <v>15000.0</v>
      </c>
      <c r="C40" s="9">
        <v>0.0</v>
      </c>
      <c r="D40" s="9">
        <v>15000.0</v>
      </c>
      <c r="E40" s="9">
        <v>15000.0</v>
      </c>
    </row>
    <row r="41">
      <c r="A41" s="9">
        <v>15000.0</v>
      </c>
      <c r="B41" s="9">
        <v>27500.0</v>
      </c>
      <c r="C41" s="9">
        <v>12500.0</v>
      </c>
      <c r="D41" s="9">
        <v>15000.0</v>
      </c>
      <c r="E41" s="9">
        <v>27500.0</v>
      </c>
    </row>
    <row r="42">
      <c r="A42" s="9" t="s">
        <v>145</v>
      </c>
      <c r="B42" s="9" t="s">
        <v>145</v>
      </c>
      <c r="C42" s="9" t="s">
        <v>145</v>
      </c>
      <c r="D42" s="9" t="s">
        <v>145</v>
      </c>
      <c r="E42" s="9" t="s">
        <v>145</v>
      </c>
    </row>
    <row r="43">
      <c r="A43" s="9">
        <v>65000.0</v>
      </c>
      <c r="B43" s="9">
        <v>7500.0</v>
      </c>
      <c r="C43" s="9">
        <v>-57500.0</v>
      </c>
      <c r="D43" s="9">
        <v>65000.0</v>
      </c>
      <c r="E43" s="9">
        <v>7500.0</v>
      </c>
    </row>
    <row r="44">
      <c r="A44" s="9" t="s">
        <v>145</v>
      </c>
      <c r="B44" s="9" t="s">
        <v>145</v>
      </c>
      <c r="C44" s="9" t="s">
        <v>145</v>
      </c>
      <c r="D44" s="9" t="s">
        <v>145</v>
      </c>
      <c r="E44" s="9" t="s">
        <v>145</v>
      </c>
    </row>
    <row r="45">
      <c r="A45" s="9">
        <v>7500.0</v>
      </c>
      <c r="B45" s="9">
        <v>7500.0</v>
      </c>
      <c r="C45" s="9">
        <v>0.0</v>
      </c>
      <c r="D45" s="9">
        <v>7500.0</v>
      </c>
      <c r="E45" s="9">
        <v>7500.0</v>
      </c>
    </row>
    <row r="46">
      <c r="A46" s="9">
        <v>15000.0</v>
      </c>
      <c r="B46" s="9">
        <v>15000.0</v>
      </c>
      <c r="C46" s="9">
        <v>0.0</v>
      </c>
      <c r="D46" s="9">
        <v>15000.0</v>
      </c>
      <c r="E46" s="9">
        <v>15000.0</v>
      </c>
    </row>
    <row r="47">
      <c r="A47" s="9">
        <v>7500.0</v>
      </c>
      <c r="B47" s="9">
        <v>7500.0</v>
      </c>
      <c r="C47" s="9">
        <v>0.0</v>
      </c>
      <c r="D47" s="9">
        <v>7500.0</v>
      </c>
      <c r="E47" s="9">
        <v>7500.0</v>
      </c>
    </row>
    <row r="48">
      <c r="A48" s="9">
        <v>7500.0</v>
      </c>
      <c r="B48" s="9">
        <v>7500.0</v>
      </c>
      <c r="C48" s="9">
        <v>0.0</v>
      </c>
      <c r="D48" s="9">
        <v>7500.0</v>
      </c>
      <c r="E48" s="9">
        <v>7500.0</v>
      </c>
    </row>
    <row r="49">
      <c r="A49" s="9">
        <v>7500.0</v>
      </c>
      <c r="B49" s="9">
        <v>7500.0</v>
      </c>
      <c r="C49" s="9">
        <v>0.0</v>
      </c>
      <c r="D49" s="9">
        <v>7500.0</v>
      </c>
      <c r="E49" s="9">
        <v>7500.0</v>
      </c>
    </row>
    <row r="50">
      <c r="A50" s="9">
        <v>27500.0</v>
      </c>
      <c r="B50" s="9">
        <v>27500.0</v>
      </c>
      <c r="C50" s="9">
        <v>0.0</v>
      </c>
      <c r="D50" s="9">
        <v>27500.0</v>
      </c>
      <c r="E50" s="9">
        <v>27500.0</v>
      </c>
    </row>
    <row r="51">
      <c r="A51" s="9" t="s">
        <v>145</v>
      </c>
      <c r="B51" s="9" t="s">
        <v>145</v>
      </c>
      <c r="C51" s="9" t="s">
        <v>145</v>
      </c>
      <c r="D51" s="9" t="s">
        <v>145</v>
      </c>
      <c r="E51" s="9" t="s">
        <v>145</v>
      </c>
    </row>
    <row r="52">
      <c r="A52" s="9" t="s">
        <v>145</v>
      </c>
      <c r="B52" s="9" t="s">
        <v>145</v>
      </c>
      <c r="C52" s="9" t="s">
        <v>145</v>
      </c>
      <c r="D52" s="9" t="s">
        <v>145</v>
      </c>
      <c r="E52" s="9" t="s">
        <v>145</v>
      </c>
    </row>
    <row r="53">
      <c r="A53" s="9" t="s">
        <v>145</v>
      </c>
      <c r="B53" s="9" t="s">
        <v>145</v>
      </c>
      <c r="C53" s="9" t="s">
        <v>145</v>
      </c>
      <c r="D53" s="9" t="s">
        <v>145</v>
      </c>
      <c r="E53" s="9" t="s">
        <v>145</v>
      </c>
    </row>
    <row r="54">
      <c r="A54" s="9" t="s">
        <v>145</v>
      </c>
      <c r="B54" s="9" t="s">
        <v>145</v>
      </c>
      <c r="C54" s="9" t="s">
        <v>145</v>
      </c>
      <c r="D54" s="9" t="s">
        <v>145</v>
      </c>
      <c r="E54" s="9" t="s">
        <v>145</v>
      </c>
    </row>
    <row r="55">
      <c r="A55" s="9" t="s">
        <v>145</v>
      </c>
      <c r="B55" s="9" t="s">
        <v>145</v>
      </c>
      <c r="C55" s="9" t="s">
        <v>145</v>
      </c>
      <c r="D55" s="9" t="s">
        <v>145</v>
      </c>
      <c r="E55" s="9" t="s">
        <v>145</v>
      </c>
    </row>
    <row r="56">
      <c r="A56" s="9" t="s">
        <v>145</v>
      </c>
      <c r="B56" s="9" t="s">
        <v>145</v>
      </c>
      <c r="C56" s="9" t="s">
        <v>145</v>
      </c>
      <c r="D56" s="9" t="s">
        <v>145</v>
      </c>
      <c r="E56" s="9" t="s">
        <v>145</v>
      </c>
    </row>
    <row r="57">
      <c r="A57" s="9" t="s">
        <v>145</v>
      </c>
      <c r="B57" s="9" t="s">
        <v>145</v>
      </c>
      <c r="C57" s="9" t="s">
        <v>145</v>
      </c>
      <c r="D57" s="9" t="s">
        <v>145</v>
      </c>
      <c r="E57" s="9" t="s">
        <v>145</v>
      </c>
    </row>
    <row r="58">
      <c r="A58" s="9" t="s">
        <v>145</v>
      </c>
      <c r="B58" s="9" t="s">
        <v>145</v>
      </c>
      <c r="C58" s="9" t="s">
        <v>145</v>
      </c>
      <c r="D58" s="9" t="s">
        <v>145</v>
      </c>
      <c r="E58" s="9" t="s">
        <v>145</v>
      </c>
    </row>
    <row r="59">
      <c r="A59" s="9" t="s">
        <v>145</v>
      </c>
      <c r="B59" s="9" t="s">
        <v>145</v>
      </c>
      <c r="C59" s="9" t="s">
        <v>145</v>
      </c>
      <c r="D59" s="9" t="s">
        <v>145</v>
      </c>
      <c r="E59" s="9" t="s">
        <v>145</v>
      </c>
    </row>
    <row r="60">
      <c r="A60" s="9" t="s">
        <v>145</v>
      </c>
      <c r="B60" s="9" t="s">
        <v>145</v>
      </c>
      <c r="C60" s="9" t="s">
        <v>145</v>
      </c>
      <c r="D60" s="9" t="s">
        <v>145</v>
      </c>
      <c r="E60" s="9" t="s">
        <v>145</v>
      </c>
    </row>
    <row r="61">
      <c r="A61" s="9" t="s">
        <v>145</v>
      </c>
      <c r="B61" s="9" t="s">
        <v>145</v>
      </c>
      <c r="C61" s="9" t="s">
        <v>145</v>
      </c>
      <c r="D61" s="9" t="s">
        <v>145</v>
      </c>
      <c r="E61" s="9" t="s">
        <v>145</v>
      </c>
    </row>
    <row r="62">
      <c r="A62" s="9" t="s">
        <v>145</v>
      </c>
      <c r="B62" s="9" t="s">
        <v>145</v>
      </c>
      <c r="C62" s="9" t="s">
        <v>145</v>
      </c>
      <c r="D62" s="9" t="s">
        <v>145</v>
      </c>
      <c r="E62" s="9" t="s">
        <v>145</v>
      </c>
    </row>
    <row r="63">
      <c r="A63" s="9" t="s">
        <v>145</v>
      </c>
      <c r="B63" s="9" t="s">
        <v>145</v>
      </c>
      <c r="C63" s="9" t="s">
        <v>145</v>
      </c>
      <c r="D63" s="9" t="s">
        <v>145</v>
      </c>
      <c r="E63" s="9" t="s">
        <v>145</v>
      </c>
    </row>
    <row r="64">
      <c r="A64" s="9" t="s">
        <v>145</v>
      </c>
      <c r="B64" s="9" t="s">
        <v>145</v>
      </c>
      <c r="C64" s="9" t="s">
        <v>145</v>
      </c>
      <c r="D64" s="9" t="s">
        <v>145</v>
      </c>
      <c r="E64" s="9" t="s">
        <v>145</v>
      </c>
    </row>
    <row r="65">
      <c r="A65" s="9" t="s">
        <v>145</v>
      </c>
      <c r="B65" s="9" t="s">
        <v>145</v>
      </c>
      <c r="C65" s="9" t="s">
        <v>145</v>
      </c>
      <c r="D65" s="9" t="s">
        <v>145</v>
      </c>
      <c r="E65" s="9" t="s">
        <v>145</v>
      </c>
    </row>
    <row r="66">
      <c r="A66" s="9" t="s">
        <v>145</v>
      </c>
      <c r="B66" s="9" t="s">
        <v>145</v>
      </c>
      <c r="C66" s="9" t="s">
        <v>145</v>
      </c>
      <c r="D66" s="9" t="s">
        <v>145</v>
      </c>
      <c r="E66" s="9" t="s">
        <v>145</v>
      </c>
    </row>
    <row r="67">
      <c r="A67" s="9" t="s">
        <v>145</v>
      </c>
      <c r="B67" s="9" t="s">
        <v>145</v>
      </c>
      <c r="C67" s="9" t="s">
        <v>145</v>
      </c>
      <c r="D67" s="9" t="s">
        <v>145</v>
      </c>
      <c r="E67" s="9" t="s">
        <v>145</v>
      </c>
    </row>
    <row r="68">
      <c r="A68" s="9" t="s">
        <v>145</v>
      </c>
      <c r="B68" s="9" t="s">
        <v>145</v>
      </c>
      <c r="C68" s="9" t="s">
        <v>145</v>
      </c>
      <c r="D68" s="9" t="s">
        <v>145</v>
      </c>
      <c r="E68" s="9" t="s">
        <v>145</v>
      </c>
    </row>
    <row r="69">
      <c r="A69" s="9" t="s">
        <v>145</v>
      </c>
      <c r="B69" s="9" t="s">
        <v>145</v>
      </c>
      <c r="C69" s="9" t="s">
        <v>145</v>
      </c>
      <c r="D69" s="9" t="s">
        <v>145</v>
      </c>
      <c r="E69" s="9" t="s">
        <v>145</v>
      </c>
    </row>
    <row r="70">
      <c r="A70" s="9" t="s">
        <v>145</v>
      </c>
      <c r="B70" s="9" t="s">
        <v>145</v>
      </c>
      <c r="C70" s="9" t="s">
        <v>145</v>
      </c>
      <c r="D70" s="9" t="s">
        <v>145</v>
      </c>
      <c r="E70" s="9" t="s">
        <v>145</v>
      </c>
    </row>
    <row r="71">
      <c r="A71" s="9" t="s">
        <v>145</v>
      </c>
      <c r="B71" s="9" t="s">
        <v>145</v>
      </c>
      <c r="C71" s="9" t="s">
        <v>145</v>
      </c>
      <c r="D71" s="9" t="s">
        <v>145</v>
      </c>
      <c r="E71" s="9" t="s">
        <v>145</v>
      </c>
    </row>
    <row r="72">
      <c r="A72" s="9" t="s">
        <v>145</v>
      </c>
      <c r="B72" s="9" t="s">
        <v>145</v>
      </c>
      <c r="C72" s="9" t="s">
        <v>145</v>
      </c>
      <c r="D72" s="9" t="s">
        <v>145</v>
      </c>
      <c r="E72" s="9" t="s">
        <v>145</v>
      </c>
    </row>
    <row r="73">
      <c r="A73" s="9" t="s">
        <v>145</v>
      </c>
      <c r="B73" s="9" t="s">
        <v>145</v>
      </c>
      <c r="C73" s="9" t="s">
        <v>145</v>
      </c>
      <c r="D73" s="9" t="s">
        <v>145</v>
      </c>
      <c r="E73" s="9" t="s">
        <v>145</v>
      </c>
    </row>
    <row r="74">
      <c r="A74" s="9" t="s">
        <v>145</v>
      </c>
      <c r="B74" s="9" t="s">
        <v>145</v>
      </c>
      <c r="C74" s="9" t="s">
        <v>145</v>
      </c>
      <c r="D74" s="9" t="s">
        <v>145</v>
      </c>
      <c r="E74" s="9" t="s">
        <v>145</v>
      </c>
    </row>
    <row r="75">
      <c r="A75" s="9" t="s">
        <v>145</v>
      </c>
      <c r="B75" s="9" t="s">
        <v>145</v>
      </c>
      <c r="C75" s="9" t="s">
        <v>145</v>
      </c>
      <c r="D75" s="9" t="s">
        <v>145</v>
      </c>
      <c r="E75" s="9" t="s">
        <v>145</v>
      </c>
    </row>
    <row r="76">
      <c r="A76" s="9" t="s">
        <v>145</v>
      </c>
      <c r="B76" s="9" t="s">
        <v>145</v>
      </c>
      <c r="C76" s="9" t="s">
        <v>145</v>
      </c>
      <c r="D76" s="9" t="s">
        <v>145</v>
      </c>
      <c r="E76" s="9" t="s">
        <v>145</v>
      </c>
    </row>
    <row r="77">
      <c r="A77" s="9" t="s">
        <v>145</v>
      </c>
      <c r="B77" s="9" t="s">
        <v>145</v>
      </c>
      <c r="C77" s="9" t="s">
        <v>145</v>
      </c>
      <c r="D77" s="9" t="s">
        <v>145</v>
      </c>
      <c r="E77" s="9" t="s">
        <v>145</v>
      </c>
    </row>
    <row r="78">
      <c r="A78" s="9" t="s">
        <v>145</v>
      </c>
      <c r="B78" s="9" t="s">
        <v>145</v>
      </c>
      <c r="C78" s="9" t="s">
        <v>145</v>
      </c>
      <c r="D78" s="9" t="s">
        <v>145</v>
      </c>
      <c r="E78" s="9" t="s">
        <v>145</v>
      </c>
    </row>
    <row r="79">
      <c r="A79" s="9" t="s">
        <v>145</v>
      </c>
      <c r="B79" s="9" t="s">
        <v>145</v>
      </c>
      <c r="C79" s="9" t="s">
        <v>145</v>
      </c>
      <c r="D79" s="9" t="s">
        <v>145</v>
      </c>
      <c r="E79" s="9" t="s">
        <v>145</v>
      </c>
    </row>
    <row r="80">
      <c r="A80" s="9" t="s">
        <v>145</v>
      </c>
      <c r="B80" s="9" t="s">
        <v>145</v>
      </c>
      <c r="C80" s="9" t="s">
        <v>145</v>
      </c>
      <c r="D80" s="9" t="s">
        <v>145</v>
      </c>
      <c r="E80" s="9" t="s">
        <v>145</v>
      </c>
    </row>
    <row r="81">
      <c r="A81" s="9" t="s">
        <v>145</v>
      </c>
      <c r="B81" s="9" t="s">
        <v>145</v>
      </c>
      <c r="C81" s="9" t="s">
        <v>145</v>
      </c>
      <c r="D81" s="9" t="s">
        <v>145</v>
      </c>
      <c r="E81" s="9" t="s">
        <v>145</v>
      </c>
    </row>
    <row r="82">
      <c r="A82" s="9" t="s">
        <v>145</v>
      </c>
      <c r="B82" s="9" t="s">
        <v>145</v>
      </c>
      <c r="C82" s="9" t="s">
        <v>145</v>
      </c>
      <c r="D82" s="9" t="s">
        <v>145</v>
      </c>
      <c r="E82" s="9" t="s">
        <v>145</v>
      </c>
    </row>
    <row r="83">
      <c r="A83" s="9" t="s">
        <v>145</v>
      </c>
      <c r="B83" s="9" t="s">
        <v>145</v>
      </c>
      <c r="C83" s="9" t="s">
        <v>145</v>
      </c>
      <c r="D83" s="9" t="s">
        <v>145</v>
      </c>
      <c r="E83" s="9" t="s">
        <v>145</v>
      </c>
    </row>
    <row r="84">
      <c r="A84" s="9" t="s">
        <v>145</v>
      </c>
      <c r="B84" s="9" t="s">
        <v>145</v>
      </c>
      <c r="C84" s="9" t="s">
        <v>145</v>
      </c>
      <c r="D84" s="9" t="s">
        <v>145</v>
      </c>
      <c r="E84" s="9" t="s">
        <v>145</v>
      </c>
    </row>
    <row r="85">
      <c r="A85" s="9" t="s">
        <v>145</v>
      </c>
      <c r="B85" s="9" t="s">
        <v>145</v>
      </c>
      <c r="C85" s="9" t="s">
        <v>145</v>
      </c>
      <c r="D85" s="9" t="s">
        <v>145</v>
      </c>
      <c r="E85" s="9" t="s">
        <v>145</v>
      </c>
    </row>
    <row r="86">
      <c r="A86" s="9" t="s">
        <v>145</v>
      </c>
      <c r="B86" s="9" t="s">
        <v>145</v>
      </c>
      <c r="C86" s="9" t="s">
        <v>145</v>
      </c>
      <c r="D86" s="9" t="s">
        <v>145</v>
      </c>
      <c r="E86" s="9" t="s">
        <v>145</v>
      </c>
    </row>
    <row r="87">
      <c r="A87" s="9" t="s">
        <v>145</v>
      </c>
      <c r="B87" s="9" t="s">
        <v>145</v>
      </c>
      <c r="C87" s="9" t="s">
        <v>145</v>
      </c>
      <c r="D87" s="9" t="s">
        <v>145</v>
      </c>
      <c r="E87" s="9" t="s">
        <v>145</v>
      </c>
    </row>
    <row r="88">
      <c r="A88" s="9" t="s">
        <v>145</v>
      </c>
      <c r="B88" s="9" t="s">
        <v>145</v>
      </c>
      <c r="C88" s="9" t="s">
        <v>145</v>
      </c>
      <c r="D88" s="9" t="s">
        <v>145</v>
      </c>
      <c r="E88" s="9" t="s">
        <v>145</v>
      </c>
    </row>
    <row r="89">
      <c r="A89" s="9" t="s">
        <v>145</v>
      </c>
      <c r="B89" s="9" t="s">
        <v>145</v>
      </c>
      <c r="C89" s="9" t="s">
        <v>145</v>
      </c>
      <c r="D89" s="9" t="s">
        <v>145</v>
      </c>
      <c r="E89" s="9" t="s">
        <v>145</v>
      </c>
    </row>
    <row r="90">
      <c r="A90" s="9" t="s">
        <v>145</v>
      </c>
      <c r="B90" s="9" t="s">
        <v>145</v>
      </c>
      <c r="C90" s="9" t="s">
        <v>145</v>
      </c>
      <c r="D90" s="9" t="s">
        <v>145</v>
      </c>
      <c r="E90" s="9" t="s">
        <v>145</v>
      </c>
    </row>
    <row r="91">
      <c r="A91" s="9" t="s">
        <v>145</v>
      </c>
      <c r="B91" s="9" t="s">
        <v>145</v>
      </c>
      <c r="C91" s="9" t="s">
        <v>145</v>
      </c>
      <c r="D91" s="9" t="s">
        <v>145</v>
      </c>
      <c r="E91" s="9" t="s">
        <v>145</v>
      </c>
    </row>
    <row r="92">
      <c r="A92" s="9" t="s">
        <v>145</v>
      </c>
      <c r="B92" s="9" t="s">
        <v>145</v>
      </c>
      <c r="C92" s="9" t="s">
        <v>145</v>
      </c>
      <c r="D92" s="9" t="s">
        <v>145</v>
      </c>
      <c r="E92" s="9" t="s">
        <v>145</v>
      </c>
    </row>
    <row r="93">
      <c r="A93" s="9" t="s">
        <v>145</v>
      </c>
      <c r="B93" s="9" t="s">
        <v>145</v>
      </c>
      <c r="C93" s="9" t="s">
        <v>145</v>
      </c>
      <c r="D93" s="9" t="s">
        <v>145</v>
      </c>
      <c r="E93" s="9" t="s">
        <v>145</v>
      </c>
    </row>
    <row r="94">
      <c r="A94" s="9" t="s">
        <v>145</v>
      </c>
      <c r="B94" s="9" t="s">
        <v>145</v>
      </c>
      <c r="C94" s="9" t="s">
        <v>145</v>
      </c>
      <c r="D94" s="9" t="s">
        <v>145</v>
      </c>
      <c r="E94" s="9" t="s">
        <v>145</v>
      </c>
    </row>
    <row r="95">
      <c r="A95" s="9" t="s">
        <v>145</v>
      </c>
      <c r="B95" s="9" t="s">
        <v>145</v>
      </c>
      <c r="C95" s="9" t="s">
        <v>145</v>
      </c>
      <c r="D95" s="9" t="s">
        <v>145</v>
      </c>
      <c r="E95" s="9" t="s">
        <v>145</v>
      </c>
    </row>
    <row r="96">
      <c r="A96" s="9" t="s">
        <v>145</v>
      </c>
      <c r="B96" s="9" t="s">
        <v>145</v>
      </c>
      <c r="C96" s="9" t="s">
        <v>145</v>
      </c>
      <c r="D96" s="9" t="s">
        <v>145</v>
      </c>
      <c r="E96" s="9" t="s">
        <v>145</v>
      </c>
    </row>
    <row r="97">
      <c r="A97" s="9" t="s">
        <v>145</v>
      </c>
      <c r="B97" s="9" t="s">
        <v>145</v>
      </c>
      <c r="C97" s="9" t="s">
        <v>145</v>
      </c>
      <c r="D97" s="9" t="s">
        <v>145</v>
      </c>
      <c r="E97" s="9" t="s">
        <v>145</v>
      </c>
    </row>
    <row r="98">
      <c r="A98" s="9" t="s">
        <v>145</v>
      </c>
      <c r="B98" s="9" t="s">
        <v>145</v>
      </c>
      <c r="C98" s="9" t="s">
        <v>145</v>
      </c>
      <c r="D98" s="9" t="s">
        <v>145</v>
      </c>
      <c r="E98" s="9" t="s">
        <v>145</v>
      </c>
    </row>
    <row r="99">
      <c r="A99" s="9" t="s">
        <v>145</v>
      </c>
      <c r="B99" s="9" t="s">
        <v>145</v>
      </c>
      <c r="C99" s="9" t="s">
        <v>145</v>
      </c>
      <c r="D99" s="9" t="s">
        <v>145</v>
      </c>
      <c r="E99" s="9" t="s">
        <v>145</v>
      </c>
    </row>
    <row r="100">
      <c r="A100" s="9" t="s">
        <v>145</v>
      </c>
      <c r="B100" s="9" t="s">
        <v>145</v>
      </c>
      <c r="C100" s="9" t="s">
        <v>145</v>
      </c>
      <c r="D100" s="9" t="s">
        <v>145</v>
      </c>
      <c r="E100" s="9" t="s">
        <v>145</v>
      </c>
    </row>
    <row r="101">
      <c r="A101" s="9" t="s">
        <v>145</v>
      </c>
      <c r="B101" s="9" t="s">
        <v>145</v>
      </c>
      <c r="C101" s="9" t="s">
        <v>145</v>
      </c>
      <c r="D101" s="9" t="s">
        <v>145</v>
      </c>
      <c r="E101" s="9" t="s">
        <v>145</v>
      </c>
    </row>
    <row r="102">
      <c r="A102" s="9" t="s">
        <v>145</v>
      </c>
      <c r="B102" s="9" t="s">
        <v>145</v>
      </c>
      <c r="C102" s="9" t="s">
        <v>145</v>
      </c>
      <c r="D102" s="9" t="s">
        <v>145</v>
      </c>
      <c r="E102" s="9" t="s">
        <v>145</v>
      </c>
    </row>
    <row r="103">
      <c r="A103" s="9" t="s">
        <v>145</v>
      </c>
      <c r="B103" s="9" t="s">
        <v>145</v>
      </c>
      <c r="C103" s="9" t="s">
        <v>145</v>
      </c>
      <c r="D103" s="9" t="s">
        <v>145</v>
      </c>
      <c r="E103" s="9" t="s">
        <v>145</v>
      </c>
    </row>
    <row r="104">
      <c r="A104" s="9" t="s">
        <v>145</v>
      </c>
      <c r="B104" s="9" t="s">
        <v>145</v>
      </c>
      <c r="C104" s="9" t="s">
        <v>145</v>
      </c>
      <c r="D104" s="9" t="s">
        <v>145</v>
      </c>
      <c r="E104" s="9" t="s">
        <v>145</v>
      </c>
    </row>
    <row r="105">
      <c r="A105" s="9" t="s">
        <v>145</v>
      </c>
      <c r="B105" s="9" t="s">
        <v>145</v>
      </c>
      <c r="C105" s="9" t="s">
        <v>145</v>
      </c>
      <c r="D105" s="9" t="s">
        <v>145</v>
      </c>
      <c r="E105" s="9" t="s">
        <v>145</v>
      </c>
    </row>
    <row r="106">
      <c r="A106" s="9" t="s">
        <v>145</v>
      </c>
      <c r="B106" s="9" t="s">
        <v>145</v>
      </c>
      <c r="C106" s="9" t="s">
        <v>145</v>
      </c>
      <c r="D106" s="9" t="s">
        <v>145</v>
      </c>
      <c r="E106" s="9" t="s">
        <v>145</v>
      </c>
    </row>
    <row r="107">
      <c r="A107" s="9" t="s">
        <v>145</v>
      </c>
      <c r="B107" s="9" t="s">
        <v>145</v>
      </c>
      <c r="C107" s="9" t="s">
        <v>145</v>
      </c>
      <c r="D107" s="9" t="s">
        <v>145</v>
      </c>
      <c r="E107" s="9" t="s">
        <v>145</v>
      </c>
    </row>
    <row r="108">
      <c r="A108" s="9" t="s">
        <v>145</v>
      </c>
      <c r="B108" s="9" t="s">
        <v>145</v>
      </c>
      <c r="C108" s="9" t="s">
        <v>145</v>
      </c>
      <c r="D108" s="9" t="s">
        <v>145</v>
      </c>
      <c r="E108" s="9" t="s">
        <v>145</v>
      </c>
    </row>
    <row r="109">
      <c r="A109" s="9" t="s">
        <v>145</v>
      </c>
      <c r="B109" s="9" t="s">
        <v>145</v>
      </c>
      <c r="C109" s="9" t="s">
        <v>145</v>
      </c>
      <c r="D109" s="9" t="s">
        <v>145</v>
      </c>
      <c r="E109" s="9" t="s">
        <v>145</v>
      </c>
    </row>
    <row r="110">
      <c r="A110" s="9" t="s">
        <v>145</v>
      </c>
      <c r="B110" s="9" t="s">
        <v>145</v>
      </c>
      <c r="C110" s="9" t="s">
        <v>145</v>
      </c>
      <c r="D110" s="9" t="s">
        <v>145</v>
      </c>
      <c r="E110" s="9" t="s">
        <v>145</v>
      </c>
    </row>
    <row r="111">
      <c r="A111" s="9" t="s">
        <v>145</v>
      </c>
      <c r="B111" s="9" t="s">
        <v>145</v>
      </c>
      <c r="C111" s="9" t="s">
        <v>145</v>
      </c>
      <c r="D111" s="9" t="s">
        <v>145</v>
      </c>
      <c r="E111" s="9" t="s">
        <v>145</v>
      </c>
    </row>
    <row r="112">
      <c r="A112" s="9" t="s">
        <v>145</v>
      </c>
      <c r="B112" s="9" t="s">
        <v>145</v>
      </c>
      <c r="C112" s="9" t="s">
        <v>145</v>
      </c>
      <c r="D112" s="9" t="s">
        <v>145</v>
      </c>
      <c r="E112" s="9" t="s">
        <v>145</v>
      </c>
    </row>
    <row r="113">
      <c r="A113" s="9" t="s">
        <v>145</v>
      </c>
      <c r="B113" s="9" t="s">
        <v>145</v>
      </c>
      <c r="C113" s="9" t="s">
        <v>145</v>
      </c>
      <c r="D113" s="9" t="s">
        <v>145</v>
      </c>
      <c r="E113" s="9" t="s">
        <v>145</v>
      </c>
    </row>
    <row r="114">
      <c r="A114" s="9" t="s">
        <v>145</v>
      </c>
      <c r="B114" s="9" t="s">
        <v>145</v>
      </c>
      <c r="C114" s="9" t="s">
        <v>145</v>
      </c>
      <c r="D114" s="9" t="s">
        <v>145</v>
      </c>
      <c r="E114" s="9" t="s">
        <v>145</v>
      </c>
    </row>
    <row r="115">
      <c r="A115" s="9" t="s">
        <v>145</v>
      </c>
      <c r="B115" s="9" t="s">
        <v>145</v>
      </c>
      <c r="C115" s="9" t="s">
        <v>145</v>
      </c>
      <c r="D115" s="9" t="s">
        <v>145</v>
      </c>
      <c r="E115" s="9" t="s">
        <v>145</v>
      </c>
    </row>
    <row r="116">
      <c r="A116" s="9" t="s">
        <v>145</v>
      </c>
      <c r="B116" s="9" t="s">
        <v>145</v>
      </c>
      <c r="C116" s="9" t="s">
        <v>145</v>
      </c>
      <c r="D116" s="9" t="s">
        <v>145</v>
      </c>
      <c r="E116" s="9" t="s">
        <v>145</v>
      </c>
    </row>
    <row r="117">
      <c r="A117" s="9" t="s">
        <v>145</v>
      </c>
      <c r="B117" s="9" t="s">
        <v>145</v>
      </c>
      <c r="C117" s="9" t="s">
        <v>145</v>
      </c>
      <c r="D117" s="9" t="s">
        <v>145</v>
      </c>
      <c r="E117" s="9" t="s">
        <v>145</v>
      </c>
    </row>
    <row r="118">
      <c r="A118" s="9" t="s">
        <v>145</v>
      </c>
      <c r="B118" s="9" t="s">
        <v>145</v>
      </c>
      <c r="C118" s="9" t="s">
        <v>145</v>
      </c>
      <c r="D118" s="9" t="s">
        <v>145</v>
      </c>
      <c r="E118" s="9" t="s">
        <v>145</v>
      </c>
    </row>
    <row r="119">
      <c r="A119" s="9" t="s">
        <v>145</v>
      </c>
      <c r="B119" s="9" t="s">
        <v>145</v>
      </c>
      <c r="C119" s="9" t="s">
        <v>145</v>
      </c>
      <c r="D119" s="9" t="s">
        <v>145</v>
      </c>
      <c r="E119" s="9" t="s">
        <v>145</v>
      </c>
    </row>
    <row r="120">
      <c r="A120" s="9" t="s">
        <v>145</v>
      </c>
      <c r="B120" s="9" t="s">
        <v>145</v>
      </c>
      <c r="C120" s="9" t="s">
        <v>145</v>
      </c>
      <c r="D120" s="9" t="s">
        <v>145</v>
      </c>
      <c r="E120" s="9" t="s">
        <v>145</v>
      </c>
    </row>
    <row r="121">
      <c r="A121" s="9" t="s">
        <v>145</v>
      </c>
      <c r="B121" s="9" t="s">
        <v>145</v>
      </c>
      <c r="C121" s="9" t="s">
        <v>145</v>
      </c>
      <c r="D121" s="9" t="s">
        <v>145</v>
      </c>
      <c r="E121" s="9" t="s">
        <v>145</v>
      </c>
    </row>
    <row r="122">
      <c r="A122" s="9" t="s">
        <v>145</v>
      </c>
      <c r="B122" s="9" t="s">
        <v>145</v>
      </c>
      <c r="C122" s="9" t="s">
        <v>145</v>
      </c>
      <c r="D122" s="9" t="s">
        <v>145</v>
      </c>
      <c r="E122" s="9" t="s">
        <v>145</v>
      </c>
    </row>
    <row r="123">
      <c r="A123" s="9" t="s">
        <v>145</v>
      </c>
      <c r="B123" s="9" t="s">
        <v>145</v>
      </c>
      <c r="C123" s="9" t="s">
        <v>145</v>
      </c>
      <c r="D123" s="9" t="s">
        <v>145</v>
      </c>
      <c r="E123" s="9" t="s">
        <v>145</v>
      </c>
    </row>
    <row r="124">
      <c r="A124" s="9" t="s">
        <v>145</v>
      </c>
      <c r="B124" s="9" t="s">
        <v>145</v>
      </c>
      <c r="C124" s="9" t="s">
        <v>145</v>
      </c>
      <c r="D124" s="9" t="s">
        <v>145</v>
      </c>
      <c r="E124" s="9" t="s">
        <v>145</v>
      </c>
    </row>
    <row r="125">
      <c r="A125" s="9" t="s">
        <v>145</v>
      </c>
      <c r="B125" s="9" t="s">
        <v>145</v>
      </c>
      <c r="C125" s="9" t="s">
        <v>145</v>
      </c>
      <c r="D125" s="9" t="s">
        <v>145</v>
      </c>
      <c r="E125" s="9" t="s">
        <v>145</v>
      </c>
    </row>
    <row r="126">
      <c r="A126" s="9" t="s">
        <v>145</v>
      </c>
      <c r="B126" s="9" t="s">
        <v>145</v>
      </c>
      <c r="C126" s="9" t="s">
        <v>145</v>
      </c>
      <c r="D126" s="9" t="s">
        <v>145</v>
      </c>
      <c r="E126" s="9" t="s">
        <v>145</v>
      </c>
    </row>
    <row r="127">
      <c r="A127" s="9" t="s">
        <v>145</v>
      </c>
      <c r="B127" s="9" t="s">
        <v>145</v>
      </c>
      <c r="C127" s="9" t="s">
        <v>145</v>
      </c>
      <c r="D127" s="9" t="s">
        <v>145</v>
      </c>
      <c r="E127" s="9" t="s">
        <v>145</v>
      </c>
    </row>
    <row r="128">
      <c r="A128" s="9" t="s">
        <v>145</v>
      </c>
      <c r="B128" s="9" t="s">
        <v>145</v>
      </c>
      <c r="C128" s="9" t="s">
        <v>145</v>
      </c>
      <c r="D128" s="9" t="s">
        <v>145</v>
      </c>
      <c r="E128" s="9" t="s">
        <v>145</v>
      </c>
    </row>
    <row r="129">
      <c r="A129" s="9" t="s">
        <v>145</v>
      </c>
      <c r="B129" s="9" t="s">
        <v>145</v>
      </c>
      <c r="C129" s="9" t="s">
        <v>145</v>
      </c>
      <c r="D129" s="9" t="s">
        <v>145</v>
      </c>
      <c r="E129" s="9" t="s">
        <v>145</v>
      </c>
    </row>
    <row r="130">
      <c r="A130" s="9" t="s">
        <v>145</v>
      </c>
      <c r="B130" s="9" t="s">
        <v>145</v>
      </c>
      <c r="C130" s="9" t="s">
        <v>145</v>
      </c>
      <c r="D130" s="9" t="s">
        <v>145</v>
      </c>
      <c r="E130" s="9" t="s">
        <v>145</v>
      </c>
    </row>
    <row r="131">
      <c r="A131" s="9" t="s">
        <v>145</v>
      </c>
      <c r="B131" s="9" t="s">
        <v>145</v>
      </c>
      <c r="C131" s="9" t="s">
        <v>145</v>
      </c>
      <c r="D131" s="9" t="s">
        <v>145</v>
      </c>
      <c r="E131" s="9" t="s">
        <v>145</v>
      </c>
    </row>
    <row r="132">
      <c r="A132" s="9" t="s">
        <v>145</v>
      </c>
      <c r="B132" s="9" t="s">
        <v>145</v>
      </c>
      <c r="C132" s="9" t="s">
        <v>145</v>
      </c>
      <c r="D132" s="9" t="s">
        <v>145</v>
      </c>
      <c r="E132" s="9" t="s">
        <v>145</v>
      </c>
    </row>
    <row r="133">
      <c r="A133" s="9" t="s">
        <v>145</v>
      </c>
      <c r="B133" s="9" t="s">
        <v>145</v>
      </c>
      <c r="C133" s="9" t="s">
        <v>145</v>
      </c>
      <c r="D133" s="9" t="s">
        <v>145</v>
      </c>
      <c r="E133" s="9" t="s">
        <v>145</v>
      </c>
    </row>
    <row r="134">
      <c r="A134" s="9" t="s">
        <v>145</v>
      </c>
      <c r="B134" s="9" t="s">
        <v>145</v>
      </c>
      <c r="C134" s="9" t="s">
        <v>145</v>
      </c>
      <c r="D134" s="9" t="s">
        <v>145</v>
      </c>
      <c r="E134" s="9" t="s">
        <v>145</v>
      </c>
    </row>
    <row r="135">
      <c r="A135" s="9" t="s">
        <v>145</v>
      </c>
      <c r="B135" s="9" t="s">
        <v>145</v>
      </c>
      <c r="C135" s="9" t="s">
        <v>145</v>
      </c>
      <c r="D135" s="9" t="s">
        <v>145</v>
      </c>
      <c r="E135" s="9" t="s">
        <v>145</v>
      </c>
    </row>
    <row r="136">
      <c r="A136" s="9" t="s">
        <v>145</v>
      </c>
      <c r="B136" s="9" t="s">
        <v>145</v>
      </c>
      <c r="C136" s="9" t="s">
        <v>145</v>
      </c>
      <c r="D136" s="9" t="s">
        <v>145</v>
      </c>
      <c r="E136" s="9" t="s">
        <v>145</v>
      </c>
    </row>
    <row r="137">
      <c r="A137" s="9" t="s">
        <v>145</v>
      </c>
      <c r="B137" s="9" t="s">
        <v>145</v>
      </c>
      <c r="C137" s="9" t="s">
        <v>145</v>
      </c>
      <c r="D137" s="9" t="s">
        <v>145</v>
      </c>
      <c r="E137" s="9" t="s">
        <v>145</v>
      </c>
    </row>
    <row r="138">
      <c r="A138" s="9" t="s">
        <v>145</v>
      </c>
      <c r="B138" s="9" t="s">
        <v>145</v>
      </c>
      <c r="C138" s="9" t="s">
        <v>145</v>
      </c>
      <c r="D138" s="9" t="s">
        <v>145</v>
      </c>
      <c r="E138" s="9" t="s">
        <v>145</v>
      </c>
    </row>
    <row r="139">
      <c r="A139" s="9" t="s">
        <v>145</v>
      </c>
      <c r="B139" s="9" t="s">
        <v>145</v>
      </c>
      <c r="C139" s="9" t="s">
        <v>145</v>
      </c>
      <c r="D139" s="9" t="s">
        <v>145</v>
      </c>
      <c r="E139" s="9" t="s">
        <v>145</v>
      </c>
    </row>
    <row r="140">
      <c r="A140" s="9" t="s">
        <v>145</v>
      </c>
      <c r="B140" s="9" t="s">
        <v>145</v>
      </c>
      <c r="C140" s="9" t="s">
        <v>145</v>
      </c>
      <c r="D140" s="9" t="s">
        <v>145</v>
      </c>
      <c r="E140" s="9" t="s">
        <v>145</v>
      </c>
    </row>
    <row r="141">
      <c r="A141" s="9" t="s">
        <v>145</v>
      </c>
      <c r="B141" s="9" t="s">
        <v>145</v>
      </c>
      <c r="C141" s="9" t="s">
        <v>145</v>
      </c>
      <c r="D141" s="9" t="s">
        <v>145</v>
      </c>
      <c r="E141" s="9" t="s">
        <v>145</v>
      </c>
    </row>
    <row r="142">
      <c r="A142" s="9" t="s">
        <v>145</v>
      </c>
      <c r="B142" s="9" t="s">
        <v>145</v>
      </c>
      <c r="C142" s="9" t="s">
        <v>145</v>
      </c>
      <c r="D142" s="9" t="s">
        <v>145</v>
      </c>
      <c r="E142" s="9" t="s">
        <v>145</v>
      </c>
    </row>
    <row r="143">
      <c r="A143" s="9" t="s">
        <v>145</v>
      </c>
      <c r="B143" s="9" t="s">
        <v>145</v>
      </c>
      <c r="C143" s="9" t="s">
        <v>145</v>
      </c>
      <c r="D143" s="9" t="s">
        <v>145</v>
      </c>
      <c r="E143" s="9" t="s">
        <v>145</v>
      </c>
    </row>
    <row r="144">
      <c r="A144" s="9" t="s">
        <v>145</v>
      </c>
      <c r="B144" s="9" t="s">
        <v>145</v>
      </c>
      <c r="C144" s="9" t="s">
        <v>145</v>
      </c>
      <c r="D144" s="9" t="s">
        <v>145</v>
      </c>
      <c r="E144" s="9" t="s">
        <v>145</v>
      </c>
    </row>
    <row r="145">
      <c r="A145" s="9" t="s">
        <v>145</v>
      </c>
      <c r="B145" s="9" t="s">
        <v>145</v>
      </c>
      <c r="C145" s="9" t="s">
        <v>145</v>
      </c>
      <c r="D145" s="9" t="s">
        <v>145</v>
      </c>
      <c r="E145" s="9" t="s">
        <v>145</v>
      </c>
    </row>
    <row r="146">
      <c r="A146" s="9" t="s">
        <v>145</v>
      </c>
      <c r="B146" s="9" t="s">
        <v>145</v>
      </c>
      <c r="C146" s="9" t="s">
        <v>145</v>
      </c>
      <c r="D146" s="9" t="s">
        <v>145</v>
      </c>
      <c r="E146" s="9" t="s">
        <v>145</v>
      </c>
    </row>
    <row r="147">
      <c r="A147" s="9" t="s">
        <v>145</v>
      </c>
      <c r="B147" s="9" t="s">
        <v>145</v>
      </c>
      <c r="C147" s="9" t="s">
        <v>145</v>
      </c>
      <c r="D147" s="9" t="s">
        <v>145</v>
      </c>
      <c r="E147" s="9" t="s">
        <v>145</v>
      </c>
    </row>
    <row r="148">
      <c r="A148" s="9" t="s">
        <v>145</v>
      </c>
      <c r="B148" s="9" t="s">
        <v>145</v>
      </c>
      <c r="C148" s="9" t="s">
        <v>145</v>
      </c>
      <c r="D148" s="9" t="s">
        <v>145</v>
      </c>
      <c r="E148" s="9" t="s">
        <v>145</v>
      </c>
    </row>
    <row r="149">
      <c r="A149" s="9" t="s">
        <v>145</v>
      </c>
      <c r="B149" s="9" t="s">
        <v>145</v>
      </c>
      <c r="C149" s="9" t="s">
        <v>145</v>
      </c>
      <c r="D149" s="9" t="s">
        <v>145</v>
      </c>
      <c r="E149" s="9" t="s">
        <v>145</v>
      </c>
    </row>
    <row r="150">
      <c r="A150" s="9" t="s">
        <v>145</v>
      </c>
      <c r="B150" s="9" t="s">
        <v>145</v>
      </c>
      <c r="C150" s="9" t="s">
        <v>145</v>
      </c>
      <c r="D150" s="9" t="s">
        <v>145</v>
      </c>
      <c r="E150" s="9" t="s">
        <v>145</v>
      </c>
    </row>
    <row r="151">
      <c r="A151" s="9"/>
      <c r="B151" s="9"/>
      <c r="C151" s="9" t="s">
        <v>145</v>
      </c>
      <c r="D151" s="9" t="s">
        <v>145</v>
      </c>
      <c r="E151" s="9" t="s">
        <v>145</v>
      </c>
    </row>
    <row r="152">
      <c r="A152" s="9"/>
      <c r="B152" s="9"/>
      <c r="C152" s="9" t="s">
        <v>145</v>
      </c>
      <c r="D152" s="9" t="s">
        <v>145</v>
      </c>
      <c r="E152" s="9" t="s">
        <v>145</v>
      </c>
    </row>
    <row r="153">
      <c r="A153" s="9"/>
      <c r="B153" s="9"/>
      <c r="C153" s="9" t="s">
        <v>145</v>
      </c>
      <c r="D153" s="9" t="s">
        <v>145</v>
      </c>
      <c r="E153" s="9" t="s">
        <v>145</v>
      </c>
    </row>
    <row r="154">
      <c r="A154" s="9"/>
      <c r="B154" s="9"/>
      <c r="C154" s="9" t="s">
        <v>145</v>
      </c>
      <c r="D154" s="9" t="s">
        <v>145</v>
      </c>
      <c r="E154" s="9" t="s">
        <v>145</v>
      </c>
    </row>
    <row r="155">
      <c r="A155" s="9"/>
      <c r="B155" s="9"/>
      <c r="C155" s="9" t="s">
        <v>145</v>
      </c>
      <c r="D155" s="9" t="s">
        <v>145</v>
      </c>
      <c r="E155" s="9" t="s">
        <v>145</v>
      </c>
    </row>
    <row r="156">
      <c r="A156" s="9"/>
      <c r="B156" s="9"/>
      <c r="C156" s="9" t="s">
        <v>145</v>
      </c>
      <c r="D156" s="9" t="s">
        <v>145</v>
      </c>
      <c r="E156" s="9" t="s">
        <v>145</v>
      </c>
    </row>
    <row r="157">
      <c r="A157" s="9"/>
      <c r="B157" s="9"/>
      <c r="C157" s="9" t="s">
        <v>145</v>
      </c>
      <c r="D157" s="9" t="s">
        <v>145</v>
      </c>
      <c r="E157" s="9" t="s">
        <v>145</v>
      </c>
    </row>
    <row r="158">
      <c r="A158" s="9"/>
      <c r="B158" s="9"/>
      <c r="C158" s="9" t="s">
        <v>145</v>
      </c>
      <c r="D158" s="9" t="s">
        <v>145</v>
      </c>
      <c r="E158" s="9" t="s">
        <v>145</v>
      </c>
    </row>
    <row r="159">
      <c r="A159" s="9"/>
      <c r="B159" s="9"/>
      <c r="C159" s="9" t="s">
        <v>145</v>
      </c>
      <c r="D159" s="9" t="s">
        <v>145</v>
      </c>
      <c r="E159" s="9" t="s">
        <v>145</v>
      </c>
    </row>
    <row r="160">
      <c r="A160" s="9"/>
      <c r="B160" s="9"/>
      <c r="C160" s="9" t="s">
        <v>145</v>
      </c>
      <c r="D160" s="9" t="s">
        <v>145</v>
      </c>
      <c r="E160" s="9" t="s">
        <v>145</v>
      </c>
    </row>
    <row r="161">
      <c r="A161" s="9"/>
      <c r="B161" s="9"/>
      <c r="C161" s="9" t="s">
        <v>145</v>
      </c>
      <c r="D161" s="9" t="s">
        <v>145</v>
      </c>
      <c r="E161" s="9" t="s">
        <v>145</v>
      </c>
    </row>
    <row r="162">
      <c r="A162" s="9"/>
      <c r="B162" s="9"/>
      <c r="C162" s="9" t="s">
        <v>145</v>
      </c>
      <c r="D162" s="9" t="s">
        <v>145</v>
      </c>
      <c r="E162" s="9" t="s">
        <v>145</v>
      </c>
    </row>
    <row r="163">
      <c r="A163" s="9"/>
      <c r="B163" s="9"/>
      <c r="C163" s="9" t="s">
        <v>145</v>
      </c>
      <c r="D163" s="9" t="s">
        <v>145</v>
      </c>
      <c r="E163" s="9" t="s">
        <v>145</v>
      </c>
    </row>
    <row r="164">
      <c r="A164" s="9"/>
      <c r="B164" s="9"/>
      <c r="C164" s="9" t="s">
        <v>145</v>
      </c>
      <c r="D164" s="9" t="s">
        <v>145</v>
      </c>
      <c r="E164" s="9" t="s">
        <v>145</v>
      </c>
    </row>
    <row r="165">
      <c r="A165" s="9"/>
      <c r="B165" s="9"/>
      <c r="C165" s="9" t="s">
        <v>145</v>
      </c>
      <c r="D165" s="9" t="s">
        <v>145</v>
      </c>
      <c r="E165" s="9" t="s">
        <v>145</v>
      </c>
    </row>
    <row r="166">
      <c r="A166" s="9"/>
      <c r="B166" s="9"/>
      <c r="C166" s="9" t="s">
        <v>145</v>
      </c>
      <c r="D166" s="9" t="s">
        <v>145</v>
      </c>
      <c r="E166" s="9" t="s">
        <v>145</v>
      </c>
    </row>
    <row r="167">
      <c r="A167" s="9"/>
      <c r="B167" s="9"/>
      <c r="C167" s="9" t="s">
        <v>145</v>
      </c>
      <c r="D167" s="9" t="s">
        <v>145</v>
      </c>
      <c r="E167" s="9" t="s">
        <v>145</v>
      </c>
    </row>
    <row r="168">
      <c r="A168" s="9"/>
      <c r="B168" s="9"/>
      <c r="C168" s="9" t="s">
        <v>145</v>
      </c>
      <c r="D168" s="9" t="s">
        <v>145</v>
      </c>
      <c r="E168" s="9" t="s">
        <v>145</v>
      </c>
    </row>
    <row r="169">
      <c r="A169" s="9"/>
      <c r="B169" s="9"/>
      <c r="C169" s="9" t="s">
        <v>145</v>
      </c>
      <c r="D169" s="9" t="s">
        <v>145</v>
      </c>
      <c r="E169" s="9" t="s">
        <v>145</v>
      </c>
    </row>
    <row r="170">
      <c r="A170" s="9"/>
      <c r="B170" s="9"/>
      <c r="C170" s="9" t="s">
        <v>145</v>
      </c>
      <c r="D170" s="9" t="s">
        <v>145</v>
      </c>
      <c r="E170" s="9" t="s">
        <v>145</v>
      </c>
    </row>
    <row r="171">
      <c r="A171" s="9"/>
      <c r="B171" s="9"/>
      <c r="C171" s="9" t="s">
        <v>145</v>
      </c>
      <c r="D171" s="9" t="s">
        <v>145</v>
      </c>
      <c r="E171" s="9" t="s">
        <v>145</v>
      </c>
    </row>
    <row r="172">
      <c r="A172" s="9"/>
      <c r="B172" s="9"/>
      <c r="C172" s="9" t="s">
        <v>145</v>
      </c>
      <c r="D172" s="9" t="s">
        <v>145</v>
      </c>
      <c r="E172" s="9" t="s">
        <v>145</v>
      </c>
    </row>
    <row r="173">
      <c r="A173" s="9"/>
      <c r="B173" s="9"/>
      <c r="C173" s="9" t="s">
        <v>145</v>
      </c>
      <c r="D173" s="9" t="s">
        <v>145</v>
      </c>
      <c r="E173" s="9" t="s">
        <v>145</v>
      </c>
    </row>
    <row r="174">
      <c r="A174" s="9"/>
      <c r="B174" s="9"/>
      <c r="C174" s="9" t="s">
        <v>145</v>
      </c>
      <c r="D174" s="9" t="s">
        <v>145</v>
      </c>
      <c r="E174" s="9" t="s">
        <v>145</v>
      </c>
    </row>
    <row r="175">
      <c r="A175" s="9"/>
      <c r="B175" s="9"/>
      <c r="C175" s="9" t="s">
        <v>145</v>
      </c>
      <c r="D175" s="9" t="s">
        <v>145</v>
      </c>
      <c r="E175" s="9" t="s">
        <v>145</v>
      </c>
    </row>
    <row r="176">
      <c r="A176" s="9"/>
      <c r="B176" s="9"/>
      <c r="C176" s="9" t="s">
        <v>145</v>
      </c>
      <c r="D176" s="9" t="s">
        <v>145</v>
      </c>
      <c r="E176" s="9" t="s">
        <v>145</v>
      </c>
    </row>
    <row r="177">
      <c r="A177" s="9"/>
      <c r="B177" s="9"/>
      <c r="C177" s="9" t="s">
        <v>145</v>
      </c>
      <c r="D177" s="9" t="s">
        <v>145</v>
      </c>
      <c r="E177" s="9" t="s">
        <v>145</v>
      </c>
    </row>
    <row r="178">
      <c r="A178" s="9"/>
      <c r="B178" s="9"/>
      <c r="C178" s="9" t="s">
        <v>145</v>
      </c>
      <c r="D178" s="9" t="s">
        <v>145</v>
      </c>
      <c r="E178" s="9" t="s">
        <v>145</v>
      </c>
    </row>
    <row r="179">
      <c r="A179" s="9"/>
      <c r="B179" s="9"/>
      <c r="C179" s="9" t="s">
        <v>145</v>
      </c>
      <c r="D179" s="9" t="s">
        <v>145</v>
      </c>
      <c r="E179" s="9" t="s">
        <v>145</v>
      </c>
    </row>
    <row r="180">
      <c r="A180" s="9"/>
      <c r="B180" s="9"/>
      <c r="C180" s="9" t="s">
        <v>145</v>
      </c>
      <c r="D180" s="9" t="s">
        <v>145</v>
      </c>
      <c r="E180" s="9" t="s">
        <v>145</v>
      </c>
    </row>
    <row r="181">
      <c r="A181" s="9"/>
      <c r="B181" s="9"/>
      <c r="C181" s="9" t="s">
        <v>145</v>
      </c>
      <c r="D181" s="9" t="s">
        <v>145</v>
      </c>
      <c r="E181" s="9" t="s">
        <v>145</v>
      </c>
    </row>
    <row r="182">
      <c r="A182" s="9"/>
      <c r="B182" s="9"/>
      <c r="C182" s="9" t="s">
        <v>145</v>
      </c>
      <c r="D182" s="9" t="s">
        <v>145</v>
      </c>
      <c r="E182" s="9" t="s">
        <v>145</v>
      </c>
    </row>
    <row r="183">
      <c r="A183" s="9"/>
      <c r="B183" s="9"/>
      <c r="C183" s="9" t="s">
        <v>145</v>
      </c>
      <c r="D183" s="9" t="s">
        <v>145</v>
      </c>
      <c r="E183" s="9" t="s">
        <v>145</v>
      </c>
    </row>
    <row r="184">
      <c r="A184" s="9"/>
      <c r="B184" s="9"/>
      <c r="C184" s="9" t="s">
        <v>145</v>
      </c>
      <c r="D184" s="9" t="s">
        <v>145</v>
      </c>
      <c r="E184" s="9" t="s">
        <v>145</v>
      </c>
    </row>
    <row r="185">
      <c r="A185" s="9"/>
      <c r="B185" s="9"/>
      <c r="C185" s="9" t="s">
        <v>145</v>
      </c>
      <c r="D185" s="9" t="s">
        <v>145</v>
      </c>
      <c r="E185" s="9" t="s">
        <v>145</v>
      </c>
    </row>
    <row r="186">
      <c r="A186" s="9"/>
      <c r="B186" s="9"/>
      <c r="C186" s="9" t="s">
        <v>145</v>
      </c>
      <c r="D186" s="9" t="s">
        <v>145</v>
      </c>
      <c r="E186" s="9" t="s">
        <v>145</v>
      </c>
    </row>
    <row r="187">
      <c r="A187" s="9"/>
      <c r="B187" s="9"/>
      <c r="C187" s="9" t="s">
        <v>145</v>
      </c>
      <c r="D187" s="9" t="s">
        <v>145</v>
      </c>
      <c r="E187" s="9" t="s">
        <v>145</v>
      </c>
    </row>
    <row r="188">
      <c r="A188" s="9"/>
      <c r="B188" s="9"/>
      <c r="C188" s="9" t="s">
        <v>145</v>
      </c>
      <c r="D188" s="9" t="s">
        <v>145</v>
      </c>
      <c r="E188" s="9" t="s">
        <v>145</v>
      </c>
    </row>
    <row r="189">
      <c r="A189" s="9"/>
      <c r="B189" s="9"/>
      <c r="C189" s="9" t="s">
        <v>145</v>
      </c>
      <c r="D189" s="9" t="s">
        <v>145</v>
      </c>
      <c r="E189" s="9" t="s">
        <v>145</v>
      </c>
    </row>
    <row r="190">
      <c r="A190" s="9"/>
      <c r="B190" s="9"/>
      <c r="C190" s="9" t="s">
        <v>145</v>
      </c>
      <c r="D190" s="9" t="s">
        <v>145</v>
      </c>
      <c r="E190" s="9" t="s">
        <v>145</v>
      </c>
    </row>
    <row r="191">
      <c r="A191" s="9"/>
      <c r="B191" s="9"/>
      <c r="C191" s="9" t="s">
        <v>145</v>
      </c>
      <c r="D191" s="9" t="s">
        <v>145</v>
      </c>
      <c r="E191" s="9" t="s">
        <v>145</v>
      </c>
    </row>
    <row r="192">
      <c r="A192" s="9"/>
      <c r="B192" s="9"/>
      <c r="C192" s="9" t="s">
        <v>145</v>
      </c>
      <c r="D192" s="9" t="s">
        <v>145</v>
      </c>
      <c r="E192" s="9" t="s">
        <v>145</v>
      </c>
    </row>
    <row r="193">
      <c r="A193" s="9"/>
      <c r="B193" s="9"/>
      <c r="C193" s="9" t="s">
        <v>145</v>
      </c>
      <c r="D193" s="9" t="s">
        <v>145</v>
      </c>
      <c r="E193" s="9" t="s">
        <v>145</v>
      </c>
    </row>
    <row r="194">
      <c r="A194" s="9"/>
      <c r="B194" s="9"/>
      <c r="C194" s="9" t="s">
        <v>145</v>
      </c>
      <c r="D194" s="9" t="s">
        <v>145</v>
      </c>
      <c r="E194" s="9" t="s">
        <v>145</v>
      </c>
    </row>
    <row r="195">
      <c r="A195" s="9"/>
      <c r="B195" s="9"/>
      <c r="C195" s="9" t="s">
        <v>145</v>
      </c>
      <c r="D195" s="9" t="s">
        <v>145</v>
      </c>
      <c r="E195" s="9" t="s">
        <v>145</v>
      </c>
    </row>
    <row r="196">
      <c r="A196" s="9"/>
      <c r="B196" s="9"/>
      <c r="C196" s="9" t="s">
        <v>145</v>
      </c>
      <c r="D196" s="9" t="s">
        <v>145</v>
      </c>
      <c r="E196" s="9" t="s">
        <v>145</v>
      </c>
    </row>
    <row r="197">
      <c r="A197" s="9"/>
      <c r="B197" s="9"/>
      <c r="C197" s="9" t="s">
        <v>145</v>
      </c>
      <c r="D197" s="9" t="s">
        <v>145</v>
      </c>
      <c r="E197" s="9" t="s">
        <v>145</v>
      </c>
    </row>
    <row r="198">
      <c r="A198" s="9"/>
      <c r="B198" s="9"/>
      <c r="C198" s="9" t="s">
        <v>145</v>
      </c>
      <c r="D198" s="9" t="s">
        <v>145</v>
      </c>
      <c r="E198" s="9" t="s">
        <v>145</v>
      </c>
    </row>
    <row r="199">
      <c r="A199" s="9"/>
      <c r="B199" s="9"/>
      <c r="C199" s="9" t="s">
        <v>145</v>
      </c>
      <c r="D199" s="9" t="s">
        <v>145</v>
      </c>
      <c r="E199" s="9" t="s">
        <v>145</v>
      </c>
    </row>
    <row r="200">
      <c r="A200" s="9"/>
      <c r="B200" s="9"/>
      <c r="C200" s="9" t="s">
        <v>145</v>
      </c>
      <c r="D200" s="9" t="s">
        <v>145</v>
      </c>
      <c r="E200" s="9" t="s">
        <v>145</v>
      </c>
    </row>
    <row r="201">
      <c r="A201" s="9"/>
      <c r="B201" s="9"/>
      <c r="C201" s="9" t="s">
        <v>145</v>
      </c>
      <c r="D201" s="9" t="s">
        <v>145</v>
      </c>
      <c r="E201" s="9" t="s">
        <v>145</v>
      </c>
    </row>
    <row r="202">
      <c r="A202" s="9"/>
      <c r="B202" s="9"/>
      <c r="C202" s="9" t="s">
        <v>145</v>
      </c>
      <c r="D202" s="9" t="s">
        <v>145</v>
      </c>
      <c r="E202" s="9" t="s">
        <v>145</v>
      </c>
    </row>
    <row r="203">
      <c r="A203" s="9"/>
      <c r="B203" s="9"/>
      <c r="C203" s="9" t="s">
        <v>145</v>
      </c>
      <c r="D203" s="9" t="s">
        <v>145</v>
      </c>
      <c r="E203" s="9" t="s">
        <v>145</v>
      </c>
    </row>
    <row r="204">
      <c r="A204" s="9"/>
      <c r="B204" s="9"/>
      <c r="C204" s="9" t="s">
        <v>145</v>
      </c>
      <c r="D204" s="9" t="s">
        <v>145</v>
      </c>
      <c r="E204" s="9" t="s">
        <v>145</v>
      </c>
    </row>
    <row r="205">
      <c r="A205" s="9"/>
      <c r="B205" s="9"/>
      <c r="C205" s="9" t="s">
        <v>145</v>
      </c>
      <c r="D205" s="9" t="s">
        <v>145</v>
      </c>
      <c r="E205" s="9" t="s">
        <v>145</v>
      </c>
    </row>
    <row r="206">
      <c r="A206" s="9"/>
      <c r="B206" s="9"/>
      <c r="C206" s="9" t="s">
        <v>145</v>
      </c>
      <c r="D206" s="9" t="s">
        <v>145</v>
      </c>
      <c r="E206" s="9" t="s">
        <v>145</v>
      </c>
    </row>
    <row r="207">
      <c r="A207" s="9"/>
      <c r="B207" s="9"/>
      <c r="C207" s="9" t="s">
        <v>145</v>
      </c>
      <c r="D207" s="9" t="s">
        <v>145</v>
      </c>
      <c r="E207" s="9" t="s">
        <v>145</v>
      </c>
    </row>
    <row r="208">
      <c r="A208" s="9"/>
      <c r="B208" s="9"/>
      <c r="C208" s="9" t="s">
        <v>145</v>
      </c>
      <c r="D208" s="9" t="s">
        <v>145</v>
      </c>
      <c r="E208" s="9" t="s">
        <v>145</v>
      </c>
    </row>
    <row r="209">
      <c r="A209" s="9"/>
      <c r="B209" s="9"/>
      <c r="C209" s="9" t="s">
        <v>145</v>
      </c>
      <c r="D209" s="9" t="s">
        <v>145</v>
      </c>
      <c r="E209" s="9" t="s">
        <v>145</v>
      </c>
    </row>
    <row r="210">
      <c r="A210" s="9"/>
      <c r="B210" s="9"/>
      <c r="C210" s="9" t="s">
        <v>145</v>
      </c>
      <c r="D210" s="9" t="s">
        <v>145</v>
      </c>
      <c r="E210" s="9" t="s">
        <v>145</v>
      </c>
    </row>
    <row r="211">
      <c r="A211" s="9"/>
      <c r="B211" s="9"/>
      <c r="C211" s="9" t="s">
        <v>145</v>
      </c>
      <c r="D211" s="9" t="s">
        <v>145</v>
      </c>
      <c r="E211" s="9" t="s">
        <v>145</v>
      </c>
    </row>
    <row r="212">
      <c r="A212" s="9"/>
      <c r="B212" s="9"/>
      <c r="C212" s="9" t="s">
        <v>145</v>
      </c>
      <c r="D212" s="9" t="s">
        <v>145</v>
      </c>
      <c r="E212" s="9" t="s">
        <v>145</v>
      </c>
    </row>
    <row r="213">
      <c r="A213" s="9"/>
      <c r="B213" s="9"/>
      <c r="C213" s="9" t="s">
        <v>145</v>
      </c>
      <c r="D213" s="9" t="s">
        <v>145</v>
      </c>
      <c r="E213" s="9" t="s">
        <v>145</v>
      </c>
    </row>
    <row r="214">
      <c r="A214" s="9"/>
      <c r="B214" s="9"/>
      <c r="C214" s="9" t="s">
        <v>145</v>
      </c>
      <c r="D214" s="9" t="s">
        <v>145</v>
      </c>
      <c r="E214" s="9" t="s">
        <v>145</v>
      </c>
    </row>
    <row r="215">
      <c r="A215" s="9"/>
      <c r="B215" s="9"/>
      <c r="C215" s="9" t="s">
        <v>145</v>
      </c>
      <c r="D215" s="9" t="s">
        <v>145</v>
      </c>
      <c r="E215" s="9" t="s">
        <v>145</v>
      </c>
    </row>
    <row r="216">
      <c r="A216" s="9"/>
      <c r="B216" s="9"/>
      <c r="C216" s="9" t="s">
        <v>145</v>
      </c>
      <c r="D216" s="9" t="s">
        <v>145</v>
      </c>
      <c r="E216" s="9" t="s">
        <v>145</v>
      </c>
    </row>
    <row r="217">
      <c r="A217" s="9"/>
      <c r="B217" s="9"/>
      <c r="C217" s="9" t="s">
        <v>145</v>
      </c>
      <c r="D217" s="9" t="s">
        <v>145</v>
      </c>
      <c r="E217" s="9" t="s">
        <v>145</v>
      </c>
    </row>
    <row r="218">
      <c r="A218" s="9"/>
      <c r="B218" s="9"/>
      <c r="C218" s="9" t="s">
        <v>145</v>
      </c>
      <c r="D218" s="9" t="s">
        <v>145</v>
      </c>
      <c r="E218" s="9" t="s">
        <v>145</v>
      </c>
    </row>
    <row r="219">
      <c r="A219" s="9"/>
      <c r="B219" s="9"/>
      <c r="C219" s="9" t="s">
        <v>145</v>
      </c>
      <c r="D219" s="9" t="s">
        <v>145</v>
      </c>
      <c r="E219" s="9" t="s">
        <v>145</v>
      </c>
    </row>
    <row r="220">
      <c r="A220" s="9"/>
      <c r="B220" s="9"/>
      <c r="C220" s="9" t="s">
        <v>145</v>
      </c>
      <c r="D220" s="9" t="s">
        <v>145</v>
      </c>
      <c r="E220" s="9" t="s">
        <v>145</v>
      </c>
    </row>
    <row r="221">
      <c r="A221" s="9"/>
      <c r="B221" s="9"/>
      <c r="C221" s="9" t="s">
        <v>145</v>
      </c>
      <c r="D221" s="9" t="s">
        <v>145</v>
      </c>
      <c r="E221" s="9" t="s">
        <v>145</v>
      </c>
    </row>
    <row r="222">
      <c r="A222" s="9"/>
      <c r="B222" s="9"/>
      <c r="C222" s="9" t="s">
        <v>145</v>
      </c>
      <c r="D222" s="9" t="s">
        <v>145</v>
      </c>
      <c r="E222" s="9" t="s">
        <v>145</v>
      </c>
    </row>
    <row r="223">
      <c r="A223" s="9"/>
      <c r="B223" s="9"/>
      <c r="C223" s="9" t="s">
        <v>145</v>
      </c>
      <c r="D223" s="9" t="s">
        <v>145</v>
      </c>
      <c r="E223" s="9" t="s">
        <v>145</v>
      </c>
    </row>
    <row r="224">
      <c r="A224" s="9"/>
      <c r="B224" s="9"/>
      <c r="C224" s="9" t="s">
        <v>145</v>
      </c>
      <c r="D224" s="9" t="s">
        <v>145</v>
      </c>
      <c r="E224" s="9" t="s">
        <v>145</v>
      </c>
    </row>
    <row r="225">
      <c r="A225" s="9"/>
      <c r="B225" s="9"/>
      <c r="C225" s="9" t="s">
        <v>145</v>
      </c>
      <c r="D225" s="9" t="s">
        <v>145</v>
      </c>
      <c r="E225" s="9" t="s">
        <v>145</v>
      </c>
    </row>
    <row r="226">
      <c r="A226" s="9"/>
      <c r="B226" s="9"/>
      <c r="C226" s="9" t="s">
        <v>145</v>
      </c>
      <c r="D226" s="9" t="s">
        <v>145</v>
      </c>
      <c r="E226" s="9" t="s">
        <v>145</v>
      </c>
    </row>
    <row r="227">
      <c r="A227" s="9"/>
      <c r="B227" s="9"/>
      <c r="C227" s="9" t="s">
        <v>145</v>
      </c>
      <c r="D227" s="9" t="s">
        <v>145</v>
      </c>
      <c r="E227" s="9" t="s">
        <v>145</v>
      </c>
    </row>
    <row r="228">
      <c r="A228" s="9"/>
      <c r="B228" s="9"/>
      <c r="C228" s="9" t="s">
        <v>145</v>
      </c>
      <c r="D228" s="9" t="s">
        <v>145</v>
      </c>
      <c r="E228" s="9" t="s">
        <v>145</v>
      </c>
    </row>
    <row r="229">
      <c r="A229" s="9"/>
      <c r="B229" s="9"/>
      <c r="C229" s="9" t="s">
        <v>145</v>
      </c>
      <c r="D229" s="9" t="s">
        <v>145</v>
      </c>
      <c r="E229" s="9" t="s">
        <v>145</v>
      </c>
    </row>
    <row r="230">
      <c r="A230" s="9"/>
      <c r="B230" s="9"/>
      <c r="C230" s="9" t="s">
        <v>145</v>
      </c>
      <c r="D230" s="9" t="s">
        <v>145</v>
      </c>
      <c r="E230" s="9" t="s">
        <v>145</v>
      </c>
    </row>
    <row r="231">
      <c r="A231" s="9"/>
      <c r="B231" s="9"/>
      <c r="C231" s="9" t="s">
        <v>145</v>
      </c>
      <c r="D231" s="9" t="s">
        <v>145</v>
      </c>
      <c r="E231" s="9" t="s">
        <v>145</v>
      </c>
    </row>
    <row r="232">
      <c r="A232" s="9"/>
      <c r="B232" s="9"/>
      <c r="C232" s="9" t="s">
        <v>145</v>
      </c>
      <c r="D232" s="9" t="s">
        <v>145</v>
      </c>
      <c r="E232" s="9" t="s">
        <v>145</v>
      </c>
    </row>
    <row r="233">
      <c r="A233" s="9"/>
      <c r="B233" s="9"/>
      <c r="C233" s="9" t="s">
        <v>145</v>
      </c>
      <c r="D233" s="9" t="s">
        <v>145</v>
      </c>
      <c r="E233" s="9" t="s">
        <v>145</v>
      </c>
    </row>
    <row r="234">
      <c r="A234" s="9"/>
      <c r="B234" s="9"/>
      <c r="C234" s="9" t="s">
        <v>145</v>
      </c>
      <c r="D234" s="9" t="s">
        <v>145</v>
      </c>
      <c r="E234" s="9" t="s">
        <v>145</v>
      </c>
    </row>
    <row r="235">
      <c r="A235" s="9"/>
      <c r="B235" s="9"/>
      <c r="C235" s="9" t="s">
        <v>145</v>
      </c>
      <c r="D235" s="9" t="s">
        <v>145</v>
      </c>
      <c r="E235" s="9" t="s">
        <v>145</v>
      </c>
    </row>
    <row r="236">
      <c r="A236" s="9"/>
      <c r="B236" s="9"/>
      <c r="C236" s="9" t="s">
        <v>145</v>
      </c>
      <c r="D236" s="9" t="s">
        <v>145</v>
      </c>
      <c r="E236" s="9" t="s">
        <v>145</v>
      </c>
    </row>
    <row r="237">
      <c r="A237" s="9"/>
      <c r="B237" s="9"/>
      <c r="C237" s="9" t="s">
        <v>145</v>
      </c>
      <c r="D237" s="9" t="s">
        <v>145</v>
      </c>
      <c r="E237" s="9" t="s">
        <v>145</v>
      </c>
    </row>
    <row r="238">
      <c r="A238" s="9"/>
      <c r="B238" s="9"/>
      <c r="C238" s="9" t="s">
        <v>145</v>
      </c>
      <c r="D238" s="9" t="s">
        <v>145</v>
      </c>
      <c r="E238" s="9" t="s">
        <v>145</v>
      </c>
    </row>
    <row r="239">
      <c r="A239" s="9"/>
      <c r="B239" s="9"/>
      <c r="C239" s="9" t="s">
        <v>145</v>
      </c>
      <c r="D239" s="9" t="s">
        <v>145</v>
      </c>
      <c r="E239" s="9" t="s">
        <v>145</v>
      </c>
    </row>
    <row r="240">
      <c r="A240" s="9"/>
      <c r="B240" s="9"/>
      <c r="C240" s="9" t="s">
        <v>145</v>
      </c>
      <c r="D240" s="9" t="s">
        <v>145</v>
      </c>
      <c r="E240" s="9" t="s">
        <v>145</v>
      </c>
    </row>
    <row r="241">
      <c r="A241" s="9"/>
      <c r="B241" s="9"/>
      <c r="C241" s="9" t="s">
        <v>145</v>
      </c>
      <c r="D241" s="9" t="s">
        <v>145</v>
      </c>
      <c r="E241" s="9" t="s">
        <v>145</v>
      </c>
    </row>
    <row r="242">
      <c r="A242" s="9"/>
      <c r="B242" s="9"/>
      <c r="C242" s="9" t="s">
        <v>145</v>
      </c>
      <c r="D242" s="9" t="s">
        <v>145</v>
      </c>
      <c r="E242" s="9" t="s">
        <v>145</v>
      </c>
    </row>
    <row r="243">
      <c r="A243" s="9"/>
      <c r="B243" s="9"/>
      <c r="C243" s="9" t="s">
        <v>145</v>
      </c>
      <c r="D243" s="9" t="s">
        <v>145</v>
      </c>
      <c r="E243" s="9" t="s">
        <v>145</v>
      </c>
    </row>
    <row r="244">
      <c r="A244" s="9"/>
      <c r="B244" s="9"/>
      <c r="C244" s="9" t="s">
        <v>145</v>
      </c>
      <c r="D244" s="9" t="s">
        <v>145</v>
      </c>
      <c r="E244" s="9" t="s">
        <v>145</v>
      </c>
    </row>
    <row r="245">
      <c r="A245" s="9"/>
      <c r="B245" s="9"/>
      <c r="C245" s="9" t="s">
        <v>145</v>
      </c>
      <c r="D245" s="9" t="s">
        <v>145</v>
      </c>
      <c r="E245" s="9" t="s">
        <v>145</v>
      </c>
    </row>
    <row r="246">
      <c r="A246" s="9"/>
      <c r="B246" s="9"/>
      <c r="C246" s="9" t="s">
        <v>145</v>
      </c>
      <c r="D246" s="9" t="s">
        <v>145</v>
      </c>
      <c r="E246" s="9" t="s">
        <v>145</v>
      </c>
    </row>
    <row r="247">
      <c r="A247" s="9"/>
      <c r="B247" s="9"/>
      <c r="C247" s="9" t="s">
        <v>145</v>
      </c>
      <c r="D247" s="9" t="s">
        <v>145</v>
      </c>
      <c r="E247" s="9" t="s">
        <v>145</v>
      </c>
    </row>
    <row r="248">
      <c r="A248" s="9"/>
      <c r="B248" s="9"/>
      <c r="C248" s="9" t="s">
        <v>145</v>
      </c>
      <c r="D248" s="9" t="s">
        <v>145</v>
      </c>
      <c r="E248" s="9" t="s">
        <v>145</v>
      </c>
    </row>
    <row r="249">
      <c r="A249" s="9"/>
      <c r="B249" s="9"/>
      <c r="C249" s="9" t="s">
        <v>145</v>
      </c>
      <c r="D249" s="9" t="s">
        <v>145</v>
      </c>
      <c r="E249" s="9" t="s">
        <v>145</v>
      </c>
    </row>
    <row r="250">
      <c r="A250" s="9"/>
      <c r="B250" s="9"/>
      <c r="C250" s="9" t="s">
        <v>145</v>
      </c>
      <c r="D250" s="9" t="s">
        <v>145</v>
      </c>
      <c r="E250" s="9" t="s">
        <v>145</v>
      </c>
    </row>
    <row r="251">
      <c r="A251" s="9"/>
      <c r="B251" s="9"/>
      <c r="C251" s="9" t="s">
        <v>145</v>
      </c>
      <c r="D251" s="9" t="s">
        <v>145</v>
      </c>
      <c r="E251" s="9" t="s">
        <v>145</v>
      </c>
    </row>
    <row r="252">
      <c r="A252" s="9"/>
      <c r="B252" s="9"/>
      <c r="C252" s="9" t="s">
        <v>145</v>
      </c>
      <c r="D252" s="9" t="s">
        <v>145</v>
      </c>
      <c r="E252" s="9" t="s">
        <v>145</v>
      </c>
    </row>
    <row r="253">
      <c r="A253" s="9"/>
      <c r="B253" s="9"/>
      <c r="C253" s="9" t="s">
        <v>145</v>
      </c>
      <c r="D253" s="9" t="s">
        <v>145</v>
      </c>
      <c r="E253" s="9" t="s">
        <v>145</v>
      </c>
    </row>
    <row r="254">
      <c r="A254" s="9"/>
      <c r="B254" s="9"/>
      <c r="C254" s="9" t="s">
        <v>145</v>
      </c>
      <c r="D254" s="9" t="s">
        <v>145</v>
      </c>
      <c r="E254" s="9" t="s">
        <v>145</v>
      </c>
    </row>
    <row r="255">
      <c r="A255" s="9"/>
      <c r="B255" s="9"/>
      <c r="C255" s="9" t="s">
        <v>145</v>
      </c>
      <c r="D255" s="9" t="s">
        <v>145</v>
      </c>
      <c r="E255" s="9" t="s">
        <v>145</v>
      </c>
    </row>
    <row r="256">
      <c r="A256" s="9"/>
      <c r="B256" s="9"/>
      <c r="C256" s="9" t="s">
        <v>145</v>
      </c>
      <c r="D256" s="9" t="s">
        <v>145</v>
      </c>
      <c r="E256" s="9" t="s">
        <v>145</v>
      </c>
    </row>
    <row r="257">
      <c r="A257" s="9"/>
      <c r="B257" s="9"/>
      <c r="C257" s="9" t="s">
        <v>145</v>
      </c>
      <c r="D257" s="9" t="s">
        <v>145</v>
      </c>
      <c r="E257" s="9" t="s">
        <v>145</v>
      </c>
    </row>
    <row r="258">
      <c r="A258" s="9"/>
      <c r="B258" s="9"/>
      <c r="C258" s="9" t="s">
        <v>145</v>
      </c>
      <c r="D258" s="9" t="s">
        <v>145</v>
      </c>
      <c r="E258" s="9" t="s">
        <v>145</v>
      </c>
    </row>
    <row r="259">
      <c r="A259" s="9"/>
      <c r="B259" s="9"/>
      <c r="C259" s="9" t="s">
        <v>145</v>
      </c>
      <c r="D259" s="9" t="s">
        <v>145</v>
      </c>
      <c r="E259" s="9" t="s">
        <v>145</v>
      </c>
    </row>
    <row r="260">
      <c r="A260" s="9"/>
      <c r="B260" s="9"/>
      <c r="C260" s="9" t="s">
        <v>145</v>
      </c>
      <c r="D260" s="9" t="s">
        <v>145</v>
      </c>
      <c r="E260" s="9" t="s">
        <v>145</v>
      </c>
    </row>
    <row r="261">
      <c r="A261" s="9"/>
      <c r="B261" s="9"/>
      <c r="C261" s="9" t="s">
        <v>145</v>
      </c>
      <c r="D261" s="9" t="s">
        <v>145</v>
      </c>
      <c r="E261" s="9" t="s">
        <v>145</v>
      </c>
    </row>
    <row r="262">
      <c r="A262" s="9"/>
      <c r="B262" s="9"/>
      <c r="C262" s="9" t="s">
        <v>145</v>
      </c>
      <c r="D262" s="9" t="s">
        <v>145</v>
      </c>
      <c r="E262" s="9" t="s">
        <v>145</v>
      </c>
    </row>
    <row r="263">
      <c r="A263" s="9"/>
      <c r="B263" s="9"/>
      <c r="C263" s="9" t="s">
        <v>145</v>
      </c>
      <c r="D263" s="9" t="s">
        <v>145</v>
      </c>
      <c r="E263" s="9" t="s">
        <v>145</v>
      </c>
    </row>
    <row r="264">
      <c r="A264" s="9"/>
      <c r="B264" s="9"/>
      <c r="C264" s="9" t="s">
        <v>145</v>
      </c>
      <c r="D264" s="9" t="s">
        <v>145</v>
      </c>
      <c r="E264" s="9" t="s">
        <v>145</v>
      </c>
    </row>
    <row r="265">
      <c r="A265" s="9"/>
      <c r="B265" s="9"/>
      <c r="C265" s="9" t="s">
        <v>145</v>
      </c>
      <c r="D265" s="9" t="s">
        <v>145</v>
      </c>
      <c r="E265" s="9" t="s">
        <v>145</v>
      </c>
    </row>
    <row r="266">
      <c r="A266" s="9"/>
      <c r="B266" s="9"/>
      <c r="C266" s="9" t="s">
        <v>145</v>
      </c>
      <c r="D266" s="9" t="s">
        <v>145</v>
      </c>
      <c r="E266" s="9" t="s">
        <v>145</v>
      </c>
    </row>
    <row r="267">
      <c r="A267" s="9"/>
      <c r="B267" s="9"/>
      <c r="C267" s="9" t="s">
        <v>145</v>
      </c>
      <c r="D267" s="9" t="s">
        <v>145</v>
      </c>
      <c r="E267" s="9" t="s">
        <v>145</v>
      </c>
    </row>
    <row r="268">
      <c r="A268" s="9"/>
      <c r="B268" s="9"/>
      <c r="C268" s="9" t="s">
        <v>145</v>
      </c>
      <c r="D268" s="9" t="s">
        <v>145</v>
      </c>
      <c r="E268" s="9" t="s">
        <v>145</v>
      </c>
    </row>
    <row r="269">
      <c r="A269" s="9"/>
      <c r="B269" s="9"/>
      <c r="C269" s="9" t="s">
        <v>145</v>
      </c>
      <c r="D269" s="9" t="s">
        <v>145</v>
      </c>
      <c r="E269" s="9" t="s">
        <v>145</v>
      </c>
    </row>
    <row r="270">
      <c r="A270" s="9"/>
      <c r="B270" s="9"/>
      <c r="C270" s="9" t="s">
        <v>145</v>
      </c>
      <c r="D270" s="9" t="s">
        <v>145</v>
      </c>
      <c r="E270" s="9" t="s">
        <v>145</v>
      </c>
    </row>
    <row r="271">
      <c r="A271" s="9"/>
      <c r="B271" s="9"/>
      <c r="C271" s="9" t="s">
        <v>145</v>
      </c>
      <c r="D271" s="9" t="s">
        <v>145</v>
      </c>
      <c r="E271" s="9" t="s">
        <v>145</v>
      </c>
    </row>
    <row r="272">
      <c r="A272" s="9"/>
      <c r="B272" s="9"/>
      <c r="C272" s="9" t="s">
        <v>145</v>
      </c>
      <c r="D272" s="9" t="s">
        <v>145</v>
      </c>
      <c r="E272" s="9" t="s">
        <v>145</v>
      </c>
    </row>
    <row r="273">
      <c r="A273" s="9"/>
      <c r="B273" s="9"/>
      <c r="C273" s="9" t="s">
        <v>145</v>
      </c>
      <c r="D273" s="9" t="s">
        <v>145</v>
      </c>
      <c r="E273" s="9" t="s">
        <v>145</v>
      </c>
    </row>
    <row r="274">
      <c r="A274" s="9"/>
      <c r="B274" s="9"/>
      <c r="C274" s="9" t="s">
        <v>145</v>
      </c>
      <c r="D274" s="9" t="s">
        <v>145</v>
      </c>
      <c r="E274" s="9" t="s">
        <v>145</v>
      </c>
    </row>
    <row r="275">
      <c r="A275" s="9"/>
      <c r="B275" s="9"/>
      <c r="C275" s="9" t="s">
        <v>145</v>
      </c>
      <c r="D275" s="9" t="s">
        <v>145</v>
      </c>
      <c r="E275" s="9" t="s">
        <v>145</v>
      </c>
    </row>
    <row r="276">
      <c r="A276" s="9"/>
      <c r="B276" s="9"/>
      <c r="C276" s="9" t="s">
        <v>145</v>
      </c>
      <c r="D276" s="9" t="s">
        <v>145</v>
      </c>
      <c r="E276" s="9" t="s">
        <v>145</v>
      </c>
    </row>
    <row r="277">
      <c r="A277" s="9"/>
      <c r="B277" s="9"/>
      <c r="C277" s="9" t="s">
        <v>145</v>
      </c>
      <c r="D277" s="9" t="s">
        <v>145</v>
      </c>
      <c r="E277" s="9" t="s">
        <v>145</v>
      </c>
    </row>
    <row r="278">
      <c r="A278" s="9"/>
      <c r="B278" s="9"/>
      <c r="C278" s="9" t="s">
        <v>145</v>
      </c>
      <c r="D278" s="9" t="s">
        <v>145</v>
      </c>
      <c r="E278" s="9" t="s">
        <v>145</v>
      </c>
    </row>
    <row r="279">
      <c r="A279" s="9"/>
      <c r="B279" s="9"/>
      <c r="C279" s="9" t="s">
        <v>145</v>
      </c>
      <c r="D279" s="9" t="s">
        <v>145</v>
      </c>
      <c r="E279" s="9" t="s">
        <v>145</v>
      </c>
    </row>
    <row r="280">
      <c r="A280" s="9"/>
      <c r="B280" s="9"/>
      <c r="C280" s="9" t="s">
        <v>145</v>
      </c>
      <c r="D280" s="9" t="s">
        <v>145</v>
      </c>
      <c r="E280" s="9" t="s">
        <v>145</v>
      </c>
    </row>
    <row r="281">
      <c r="A281" s="9"/>
      <c r="B281" s="9"/>
      <c r="C281" s="9" t="s">
        <v>145</v>
      </c>
      <c r="D281" s="9" t="s">
        <v>145</v>
      </c>
      <c r="E281" s="9" t="s">
        <v>145</v>
      </c>
    </row>
    <row r="282">
      <c r="A282" s="9"/>
      <c r="B282" s="9"/>
      <c r="C282" s="9" t="s">
        <v>145</v>
      </c>
      <c r="D282" s="9" t="s">
        <v>145</v>
      </c>
      <c r="E282" s="9" t="s">
        <v>145</v>
      </c>
    </row>
    <row r="283">
      <c r="A283" s="9"/>
      <c r="B283" s="9"/>
      <c r="C283" s="9" t="s">
        <v>145</v>
      </c>
      <c r="D283" s="9" t="s">
        <v>145</v>
      </c>
      <c r="E283" s="9" t="s">
        <v>145</v>
      </c>
    </row>
    <row r="284">
      <c r="A284" s="9"/>
      <c r="B284" s="9"/>
      <c r="C284" s="9" t="s">
        <v>145</v>
      </c>
      <c r="D284" s="9" t="s">
        <v>145</v>
      </c>
      <c r="E284" s="9" t="s">
        <v>145</v>
      </c>
    </row>
    <row r="285">
      <c r="A285" s="9"/>
      <c r="B285" s="9"/>
      <c r="C285" s="9" t="s">
        <v>145</v>
      </c>
      <c r="D285" s="9" t="s">
        <v>145</v>
      </c>
      <c r="E285" s="9" t="s">
        <v>145</v>
      </c>
    </row>
    <row r="286">
      <c r="A286" s="9"/>
      <c r="B286" s="9"/>
      <c r="C286" s="9" t="s">
        <v>145</v>
      </c>
      <c r="D286" s="9" t="s">
        <v>145</v>
      </c>
      <c r="E286" s="9" t="s">
        <v>145</v>
      </c>
    </row>
    <row r="287">
      <c r="A287" s="9"/>
      <c r="B287" s="9"/>
      <c r="C287" s="9" t="s">
        <v>145</v>
      </c>
      <c r="D287" s="9" t="s">
        <v>145</v>
      </c>
      <c r="E287" s="9" t="s">
        <v>145</v>
      </c>
    </row>
    <row r="288">
      <c r="A288" s="9"/>
      <c r="B288" s="9"/>
      <c r="C288" s="9" t="s">
        <v>145</v>
      </c>
      <c r="D288" s="9" t="s">
        <v>145</v>
      </c>
      <c r="E288" s="9" t="s">
        <v>145</v>
      </c>
    </row>
    <row r="289">
      <c r="A289" s="9"/>
      <c r="B289" s="9"/>
      <c r="C289" s="9" t="s">
        <v>145</v>
      </c>
      <c r="D289" s="9" t="s">
        <v>145</v>
      </c>
      <c r="E289" s="9" t="s">
        <v>145</v>
      </c>
    </row>
    <row r="290">
      <c r="A290" s="9"/>
      <c r="B290" s="9"/>
      <c r="C290" s="9" t="s">
        <v>145</v>
      </c>
      <c r="D290" s="9" t="s">
        <v>145</v>
      </c>
      <c r="E290" s="9" t="s">
        <v>145</v>
      </c>
    </row>
    <row r="291">
      <c r="A291" s="9"/>
      <c r="B291" s="9"/>
      <c r="C291" s="9" t="s">
        <v>145</v>
      </c>
      <c r="D291" s="9" t="s">
        <v>145</v>
      </c>
      <c r="E291" s="9" t="s">
        <v>145</v>
      </c>
    </row>
    <row r="292">
      <c r="A292" s="9"/>
      <c r="B292" s="9"/>
      <c r="C292" s="9" t="s">
        <v>145</v>
      </c>
      <c r="D292" s="9" t="s">
        <v>145</v>
      </c>
      <c r="E292" s="9" t="s">
        <v>145</v>
      </c>
    </row>
    <row r="293">
      <c r="A293" s="9"/>
      <c r="B293" s="9"/>
      <c r="C293" s="9" t="s">
        <v>145</v>
      </c>
      <c r="D293" s="9" t="s">
        <v>145</v>
      </c>
      <c r="E293" s="9" t="s">
        <v>145</v>
      </c>
    </row>
    <row r="294">
      <c r="A294" s="9"/>
      <c r="B294" s="9"/>
      <c r="C294" s="9" t="s">
        <v>145</v>
      </c>
      <c r="D294" s="9" t="s">
        <v>145</v>
      </c>
      <c r="E294" s="9" t="s">
        <v>145</v>
      </c>
    </row>
    <row r="295">
      <c r="A295" s="9"/>
      <c r="B295" s="9"/>
      <c r="C295" s="9" t="s">
        <v>145</v>
      </c>
      <c r="D295" s="9" t="s">
        <v>145</v>
      </c>
      <c r="E295" s="9" t="s">
        <v>145</v>
      </c>
    </row>
    <row r="296">
      <c r="A296" s="9"/>
      <c r="B296" s="9"/>
      <c r="C296" s="9" t="s">
        <v>145</v>
      </c>
      <c r="D296" s="9" t="s">
        <v>145</v>
      </c>
      <c r="E296" s="9" t="s">
        <v>145</v>
      </c>
    </row>
    <row r="297">
      <c r="A297" s="9"/>
      <c r="B297" s="9"/>
      <c r="C297" s="9" t="s">
        <v>145</v>
      </c>
      <c r="D297" s="9" t="s">
        <v>145</v>
      </c>
      <c r="E297" s="9" t="s">
        <v>145</v>
      </c>
    </row>
    <row r="298">
      <c r="A298" s="9"/>
      <c r="B298" s="9"/>
      <c r="C298" s="9" t="s">
        <v>145</v>
      </c>
      <c r="D298" s="9" t="s">
        <v>145</v>
      </c>
      <c r="E298" s="9" t="s">
        <v>145</v>
      </c>
    </row>
    <row r="299">
      <c r="A299" s="9"/>
      <c r="B299" s="9"/>
      <c r="C299" s="9" t="s">
        <v>145</v>
      </c>
      <c r="D299" s="9" t="s">
        <v>145</v>
      </c>
      <c r="E299" s="9" t="s">
        <v>145</v>
      </c>
    </row>
    <row r="300">
      <c r="A300" s="9"/>
      <c r="B300" s="9"/>
      <c r="C300" s="9" t="s">
        <v>145</v>
      </c>
      <c r="D300" s="9" t="s">
        <v>145</v>
      </c>
      <c r="E300" s="9" t="s">
        <v>145</v>
      </c>
    </row>
    <row r="301">
      <c r="A301" s="9"/>
      <c r="B301" s="9"/>
      <c r="C301" s="9" t="s">
        <v>145</v>
      </c>
      <c r="D301" s="9" t="s">
        <v>145</v>
      </c>
      <c r="E301" s="9" t="s">
        <v>145</v>
      </c>
    </row>
    <row r="302">
      <c r="A302" s="9"/>
      <c r="B302" s="9"/>
      <c r="C302" s="9" t="s">
        <v>145</v>
      </c>
      <c r="D302" s="9" t="s">
        <v>145</v>
      </c>
      <c r="E302" s="9" t="s">
        <v>145</v>
      </c>
    </row>
    <row r="303">
      <c r="A303" s="9"/>
      <c r="B303" s="9"/>
      <c r="C303" s="9" t="s">
        <v>145</v>
      </c>
      <c r="D303" s="9" t="s">
        <v>145</v>
      </c>
      <c r="E303" s="9" t="s">
        <v>145</v>
      </c>
    </row>
    <row r="304">
      <c r="A304" s="9"/>
      <c r="B304" s="9"/>
      <c r="C304" s="9" t="s">
        <v>145</v>
      </c>
      <c r="D304" s="9" t="s">
        <v>145</v>
      </c>
      <c r="E304" s="9" t="s">
        <v>145</v>
      </c>
    </row>
    <row r="305">
      <c r="A305" s="9"/>
      <c r="B305" s="9"/>
      <c r="C305" s="9" t="s">
        <v>145</v>
      </c>
      <c r="D305" s="9" t="s">
        <v>145</v>
      </c>
      <c r="E305" s="9" t="s">
        <v>145</v>
      </c>
    </row>
    <row r="306">
      <c r="A306" s="9"/>
      <c r="B306" s="9"/>
      <c r="C306" s="9" t="s">
        <v>145</v>
      </c>
      <c r="D306" s="9" t="s">
        <v>145</v>
      </c>
      <c r="E306" s="9" t="s">
        <v>145</v>
      </c>
    </row>
    <row r="307">
      <c r="A307" s="9"/>
      <c r="B307" s="9"/>
      <c r="C307" s="9" t="s">
        <v>145</v>
      </c>
      <c r="D307" s="9" t="s">
        <v>145</v>
      </c>
      <c r="E307" s="9" t="s">
        <v>145</v>
      </c>
    </row>
    <row r="308">
      <c r="A308" s="9"/>
      <c r="B308" s="9"/>
      <c r="C308" s="9" t="s">
        <v>145</v>
      </c>
      <c r="D308" s="9" t="s">
        <v>145</v>
      </c>
      <c r="E308" s="9" t="s">
        <v>145</v>
      </c>
    </row>
    <row r="309">
      <c r="A309" s="9"/>
      <c r="B309" s="9"/>
      <c r="C309" s="9" t="s">
        <v>145</v>
      </c>
      <c r="D309" s="9" t="s">
        <v>145</v>
      </c>
      <c r="E309" s="9" t="s">
        <v>145</v>
      </c>
    </row>
    <row r="310">
      <c r="A310" s="9"/>
      <c r="B310" s="9"/>
      <c r="C310" s="9" t="s">
        <v>145</v>
      </c>
      <c r="D310" s="9" t="s">
        <v>145</v>
      </c>
      <c r="E310" s="9" t="s">
        <v>145</v>
      </c>
    </row>
    <row r="311">
      <c r="A311" s="9"/>
      <c r="B311" s="9"/>
      <c r="C311" s="9" t="s">
        <v>145</v>
      </c>
      <c r="D311" s="9" t="s">
        <v>145</v>
      </c>
      <c r="E311" s="9" t="s">
        <v>145</v>
      </c>
    </row>
    <row r="312">
      <c r="A312" s="9"/>
      <c r="B312" s="9"/>
      <c r="C312" s="9" t="s">
        <v>145</v>
      </c>
      <c r="D312" s="9" t="s">
        <v>145</v>
      </c>
      <c r="E312" s="9" t="s">
        <v>145</v>
      </c>
    </row>
    <row r="313">
      <c r="A313" s="9"/>
      <c r="B313" s="9"/>
      <c r="C313" s="9" t="s">
        <v>145</v>
      </c>
      <c r="D313" s="9" t="s">
        <v>145</v>
      </c>
      <c r="E313" s="9" t="s">
        <v>145</v>
      </c>
    </row>
    <row r="314">
      <c r="A314" s="9"/>
      <c r="B314" s="9"/>
      <c r="C314" s="9" t="s">
        <v>145</v>
      </c>
      <c r="D314" s="9" t="s">
        <v>145</v>
      </c>
      <c r="E314" s="9" t="s">
        <v>145</v>
      </c>
    </row>
    <row r="315">
      <c r="A315" s="9"/>
      <c r="B315" s="9"/>
      <c r="C315" s="9" t="s">
        <v>145</v>
      </c>
      <c r="D315" s="9" t="s">
        <v>145</v>
      </c>
      <c r="E315" s="9" t="s">
        <v>145</v>
      </c>
    </row>
    <row r="316">
      <c r="A316" s="9"/>
      <c r="B316" s="9"/>
      <c r="C316" s="9" t="s">
        <v>145</v>
      </c>
      <c r="D316" s="9" t="s">
        <v>145</v>
      </c>
      <c r="E316" s="9" t="s">
        <v>145</v>
      </c>
    </row>
    <row r="317">
      <c r="A317" s="9"/>
      <c r="B317" s="9"/>
      <c r="C317" s="9" t="s">
        <v>145</v>
      </c>
      <c r="D317" s="9" t="s">
        <v>145</v>
      </c>
      <c r="E317" s="9" t="s">
        <v>145</v>
      </c>
    </row>
    <row r="318">
      <c r="A318" s="9"/>
      <c r="B318" s="9"/>
      <c r="C318" s="9" t="s">
        <v>145</v>
      </c>
      <c r="D318" s="9" t="s">
        <v>145</v>
      </c>
      <c r="E318" s="9" t="s">
        <v>145</v>
      </c>
    </row>
    <row r="319">
      <c r="A319" s="9"/>
      <c r="B319" s="9"/>
      <c r="C319" s="9" t="s">
        <v>145</v>
      </c>
      <c r="D319" s="9" t="s">
        <v>145</v>
      </c>
      <c r="E319" s="9" t="s">
        <v>145</v>
      </c>
    </row>
    <row r="320">
      <c r="A320" s="9"/>
      <c r="B320" s="9"/>
      <c r="C320" s="9" t="s">
        <v>145</v>
      </c>
      <c r="D320" s="9" t="s">
        <v>145</v>
      </c>
      <c r="E320" s="9" t="s">
        <v>145</v>
      </c>
    </row>
    <row r="321">
      <c r="A321" s="9"/>
      <c r="B321" s="9"/>
      <c r="C321" s="9" t="s">
        <v>145</v>
      </c>
      <c r="D321" s="9" t="s">
        <v>145</v>
      </c>
      <c r="E321" s="9" t="s">
        <v>145</v>
      </c>
    </row>
    <row r="322">
      <c r="A322" s="9"/>
      <c r="B322" s="9"/>
      <c r="C322" s="9" t="s">
        <v>145</v>
      </c>
      <c r="D322" s="9" t="s">
        <v>145</v>
      </c>
      <c r="E322" s="9" t="s">
        <v>145</v>
      </c>
    </row>
    <row r="323">
      <c r="A323" s="9"/>
      <c r="B323" s="9"/>
      <c r="C323" s="9" t="s">
        <v>145</v>
      </c>
      <c r="D323" s="9" t="s">
        <v>145</v>
      </c>
      <c r="E323" s="9" t="s">
        <v>145</v>
      </c>
    </row>
    <row r="324">
      <c r="A324" s="9"/>
      <c r="B324" s="9"/>
      <c r="C324" s="9" t="s">
        <v>145</v>
      </c>
      <c r="D324" s="9" t="s">
        <v>145</v>
      </c>
      <c r="E324" s="9" t="s">
        <v>145</v>
      </c>
    </row>
    <row r="325">
      <c r="A325" s="9"/>
      <c r="B325" s="9"/>
      <c r="C325" s="9" t="s">
        <v>145</v>
      </c>
      <c r="D325" s="9" t="s">
        <v>145</v>
      </c>
      <c r="E325" s="9" t="s">
        <v>145</v>
      </c>
    </row>
    <row r="326">
      <c r="A326" s="9"/>
      <c r="B326" s="9"/>
      <c r="C326" s="9" t="s">
        <v>145</v>
      </c>
      <c r="D326" s="9" t="s">
        <v>145</v>
      </c>
      <c r="E326" s="9" t="s">
        <v>145</v>
      </c>
    </row>
    <row r="327">
      <c r="A327" s="9"/>
      <c r="B327" s="9"/>
      <c r="C327" s="9" t="s">
        <v>145</v>
      </c>
      <c r="D327" s="9" t="s">
        <v>145</v>
      </c>
      <c r="E327" s="9" t="s">
        <v>145</v>
      </c>
    </row>
    <row r="328">
      <c r="A328" s="9"/>
      <c r="B328" s="9"/>
      <c r="C328" s="9" t="s">
        <v>145</v>
      </c>
      <c r="D328" s="9" t="s">
        <v>145</v>
      </c>
      <c r="E328" s="9" t="s">
        <v>145</v>
      </c>
    </row>
    <row r="329">
      <c r="A329" s="9"/>
      <c r="B329" s="9"/>
      <c r="C329" s="9" t="s">
        <v>145</v>
      </c>
      <c r="D329" s="9" t="s">
        <v>145</v>
      </c>
      <c r="E329" s="9" t="s">
        <v>145</v>
      </c>
    </row>
    <row r="330">
      <c r="A330" s="9"/>
      <c r="B330" s="9"/>
      <c r="C330" s="9" t="s">
        <v>145</v>
      </c>
      <c r="D330" s="9" t="s">
        <v>145</v>
      </c>
      <c r="E330" s="9" t="s">
        <v>145</v>
      </c>
    </row>
    <row r="331">
      <c r="A331" s="9"/>
      <c r="B331" s="9"/>
      <c r="C331" s="9" t="s">
        <v>145</v>
      </c>
      <c r="D331" s="9" t="s">
        <v>145</v>
      </c>
      <c r="E331" s="9" t="s">
        <v>145</v>
      </c>
    </row>
    <row r="332">
      <c r="A332" s="9"/>
      <c r="B332" s="9"/>
      <c r="C332" s="9" t="s">
        <v>145</v>
      </c>
      <c r="D332" s="9" t="s">
        <v>145</v>
      </c>
      <c r="E332" s="9" t="s">
        <v>145</v>
      </c>
    </row>
    <row r="333">
      <c r="A333" s="9"/>
      <c r="B333" s="9"/>
      <c r="C333" s="9" t="s">
        <v>145</v>
      </c>
      <c r="D333" s="9" t="s">
        <v>145</v>
      </c>
      <c r="E333" s="9" t="s">
        <v>145</v>
      </c>
    </row>
    <row r="334">
      <c r="A334" s="9"/>
      <c r="B334" s="9"/>
      <c r="C334" s="9" t="s">
        <v>145</v>
      </c>
      <c r="D334" s="9" t="s">
        <v>145</v>
      </c>
      <c r="E334" s="9" t="s">
        <v>145</v>
      </c>
    </row>
    <row r="335">
      <c r="A335" s="9"/>
      <c r="B335" s="9"/>
      <c r="C335" s="9" t="s">
        <v>145</v>
      </c>
      <c r="D335" s="9" t="s">
        <v>145</v>
      </c>
      <c r="E335" s="9" t="s">
        <v>145</v>
      </c>
    </row>
    <row r="336">
      <c r="A336" s="9"/>
      <c r="B336" s="9"/>
      <c r="C336" s="9" t="s">
        <v>145</v>
      </c>
      <c r="D336" s="9" t="s">
        <v>145</v>
      </c>
      <c r="E336" s="9" t="s">
        <v>145</v>
      </c>
    </row>
    <row r="337">
      <c r="A337" s="9"/>
      <c r="B337" s="9"/>
      <c r="C337" s="9" t="s">
        <v>145</v>
      </c>
      <c r="D337" s="9" t="s">
        <v>145</v>
      </c>
      <c r="E337" s="9" t="s">
        <v>145</v>
      </c>
    </row>
    <row r="338">
      <c r="A338" s="9"/>
      <c r="B338" s="9"/>
      <c r="C338" s="9" t="s">
        <v>145</v>
      </c>
      <c r="D338" s="9" t="s">
        <v>145</v>
      </c>
      <c r="E338" s="9" t="s">
        <v>145</v>
      </c>
    </row>
    <row r="339">
      <c r="A339" s="9"/>
      <c r="B339" s="9"/>
      <c r="C339" s="9" t="s">
        <v>145</v>
      </c>
      <c r="D339" s="9" t="s">
        <v>145</v>
      </c>
      <c r="E339" s="9" t="s">
        <v>145</v>
      </c>
    </row>
    <row r="340">
      <c r="A340" s="9"/>
      <c r="B340" s="9"/>
      <c r="C340" s="9" t="s">
        <v>145</v>
      </c>
      <c r="D340" s="9" t="s">
        <v>145</v>
      </c>
      <c r="E340" s="9" t="s">
        <v>145</v>
      </c>
    </row>
    <row r="341">
      <c r="A341" s="9"/>
      <c r="B341" s="9"/>
      <c r="C341" s="9" t="s">
        <v>145</v>
      </c>
      <c r="D341" s="9" t="s">
        <v>145</v>
      </c>
      <c r="E341" s="9" t="s">
        <v>145</v>
      </c>
    </row>
    <row r="342">
      <c r="A342" s="9"/>
      <c r="B342" s="9"/>
      <c r="C342" s="9" t="s">
        <v>145</v>
      </c>
      <c r="D342" s="9" t="s">
        <v>145</v>
      </c>
      <c r="E342" s="9" t="s">
        <v>145</v>
      </c>
    </row>
    <row r="343">
      <c r="A343" s="9"/>
      <c r="B343" s="9"/>
      <c r="C343" s="9" t="s">
        <v>145</v>
      </c>
      <c r="D343" s="9" t="s">
        <v>145</v>
      </c>
      <c r="E343" s="9" t="s">
        <v>145</v>
      </c>
    </row>
    <row r="344">
      <c r="A344" s="9"/>
      <c r="B344" s="9"/>
      <c r="C344" s="9" t="s">
        <v>145</v>
      </c>
      <c r="D344" s="9" t="s">
        <v>145</v>
      </c>
      <c r="E344" s="9" t="s">
        <v>145</v>
      </c>
    </row>
    <row r="345">
      <c r="A345" s="9"/>
      <c r="B345" s="9"/>
      <c r="C345" s="9" t="s">
        <v>145</v>
      </c>
      <c r="D345" s="9" t="s">
        <v>145</v>
      </c>
      <c r="E345" s="9" t="s">
        <v>145</v>
      </c>
    </row>
    <row r="346">
      <c r="A346" s="9"/>
      <c r="B346" s="9"/>
      <c r="C346" s="9" t="s">
        <v>145</v>
      </c>
      <c r="D346" s="9" t="s">
        <v>145</v>
      </c>
      <c r="E346" s="9" t="s">
        <v>145</v>
      </c>
    </row>
    <row r="347">
      <c r="A347" s="9"/>
      <c r="B347" s="9"/>
      <c r="C347" s="9" t="s">
        <v>145</v>
      </c>
      <c r="D347" s="9" t="s">
        <v>145</v>
      </c>
      <c r="E347" s="9" t="s">
        <v>145</v>
      </c>
    </row>
    <row r="348">
      <c r="A348" s="9"/>
      <c r="B348" s="9"/>
      <c r="C348" s="9" t="s">
        <v>145</v>
      </c>
      <c r="D348" s="9" t="s">
        <v>145</v>
      </c>
      <c r="E348" s="9" t="s">
        <v>145</v>
      </c>
    </row>
    <row r="349">
      <c r="A349" s="9"/>
      <c r="B349" s="9"/>
      <c r="C349" s="9" t="s">
        <v>145</v>
      </c>
      <c r="D349" s="9" t="s">
        <v>145</v>
      </c>
      <c r="E349" s="9" t="s">
        <v>145</v>
      </c>
    </row>
    <row r="350">
      <c r="A350" s="9"/>
      <c r="B350" s="9"/>
      <c r="C350" s="9" t="s">
        <v>145</v>
      </c>
      <c r="D350" s="9" t="s">
        <v>145</v>
      </c>
      <c r="E350" s="9" t="s">
        <v>145</v>
      </c>
    </row>
    <row r="351">
      <c r="A351" s="9"/>
      <c r="B351" s="9"/>
      <c r="C351" s="9" t="s">
        <v>145</v>
      </c>
      <c r="D351" s="9" t="s">
        <v>145</v>
      </c>
      <c r="E351" s="9" t="s">
        <v>145</v>
      </c>
    </row>
    <row r="352">
      <c r="A352" s="9"/>
      <c r="B352" s="9"/>
      <c r="C352" s="9" t="s">
        <v>145</v>
      </c>
      <c r="D352" s="9" t="s">
        <v>145</v>
      </c>
      <c r="E352" s="9" t="s">
        <v>145</v>
      </c>
    </row>
    <row r="353">
      <c r="A353" s="9"/>
      <c r="B353" s="9"/>
      <c r="C353" s="9" t="s">
        <v>145</v>
      </c>
      <c r="D353" s="9" t="s">
        <v>145</v>
      </c>
      <c r="E353" s="9" t="s">
        <v>145</v>
      </c>
    </row>
    <row r="354">
      <c r="A354" s="9"/>
      <c r="B354" s="9"/>
      <c r="C354" s="9" t="s">
        <v>145</v>
      </c>
      <c r="D354" s="9" t="s">
        <v>145</v>
      </c>
      <c r="E354" s="9" t="s">
        <v>145</v>
      </c>
    </row>
    <row r="355">
      <c r="A355" s="9"/>
      <c r="B355" s="9"/>
      <c r="C355" s="9" t="s">
        <v>145</v>
      </c>
      <c r="D355" s="9" t="s">
        <v>145</v>
      </c>
      <c r="E355" s="9" t="s">
        <v>145</v>
      </c>
    </row>
    <row r="356">
      <c r="A356" s="9"/>
      <c r="B356" s="9"/>
      <c r="C356" s="9" t="s">
        <v>145</v>
      </c>
      <c r="D356" s="9" t="s">
        <v>145</v>
      </c>
      <c r="E356" s="9" t="s">
        <v>145</v>
      </c>
    </row>
    <row r="357">
      <c r="A357" s="9"/>
      <c r="B357" s="9"/>
      <c r="C357" s="9" t="s">
        <v>145</v>
      </c>
      <c r="D357" s="9" t="s">
        <v>145</v>
      </c>
      <c r="E357" s="9" t="s">
        <v>145</v>
      </c>
    </row>
    <row r="358">
      <c r="A358" s="9"/>
      <c r="B358" s="9"/>
      <c r="C358" s="9" t="s">
        <v>145</v>
      </c>
      <c r="D358" s="9" t="s">
        <v>145</v>
      </c>
      <c r="E358" s="9" t="s">
        <v>145</v>
      </c>
    </row>
    <row r="359">
      <c r="A359" s="9"/>
      <c r="B359" s="9"/>
      <c r="C359" s="9" t="s">
        <v>145</v>
      </c>
      <c r="D359" s="9" t="s">
        <v>145</v>
      </c>
      <c r="E359" s="9" t="s">
        <v>145</v>
      </c>
    </row>
    <row r="360">
      <c r="A360" s="9"/>
      <c r="B360" s="9"/>
      <c r="C360" s="9" t="s">
        <v>145</v>
      </c>
      <c r="D360" s="9" t="s">
        <v>145</v>
      </c>
      <c r="E360" s="9" t="s">
        <v>145</v>
      </c>
    </row>
    <row r="361">
      <c r="A361" s="9"/>
      <c r="B361" s="9"/>
      <c r="C361" s="9" t="s">
        <v>145</v>
      </c>
      <c r="D361" s="9" t="s">
        <v>145</v>
      </c>
      <c r="E361" s="9" t="s">
        <v>145</v>
      </c>
    </row>
    <row r="362">
      <c r="A362" s="9"/>
      <c r="B362" s="9"/>
      <c r="C362" s="9" t="s">
        <v>145</v>
      </c>
      <c r="D362" s="9" t="s">
        <v>145</v>
      </c>
      <c r="E362" s="9" t="s">
        <v>145</v>
      </c>
    </row>
    <row r="363">
      <c r="A363" s="9"/>
      <c r="B363" s="9"/>
      <c r="C363" s="9" t="s">
        <v>145</v>
      </c>
      <c r="D363" s="9" t="s">
        <v>145</v>
      </c>
      <c r="E363" s="9" t="s">
        <v>145</v>
      </c>
    </row>
    <row r="364">
      <c r="A364" s="9"/>
      <c r="B364" s="9"/>
      <c r="C364" s="9" t="s">
        <v>145</v>
      </c>
      <c r="D364" s="9" t="s">
        <v>145</v>
      </c>
      <c r="E364" s="9" t="s">
        <v>145</v>
      </c>
    </row>
    <row r="365">
      <c r="A365" s="9"/>
      <c r="B365" s="9"/>
      <c r="C365" s="9" t="s">
        <v>145</v>
      </c>
      <c r="D365" s="9" t="s">
        <v>145</v>
      </c>
      <c r="E365" s="9" t="s">
        <v>145</v>
      </c>
    </row>
    <row r="366">
      <c r="A366" s="9"/>
      <c r="B366" s="9"/>
      <c r="C366" s="9" t="s">
        <v>145</v>
      </c>
      <c r="D366" s="9" t="s">
        <v>145</v>
      </c>
      <c r="E366" s="9" t="s">
        <v>145</v>
      </c>
    </row>
    <row r="367">
      <c r="A367" s="9"/>
      <c r="B367" s="9"/>
      <c r="C367" s="9" t="s">
        <v>145</v>
      </c>
      <c r="D367" s="9" t="s">
        <v>145</v>
      </c>
      <c r="E367" s="9" t="s">
        <v>145</v>
      </c>
    </row>
    <row r="368">
      <c r="A368" s="9"/>
      <c r="B368" s="9"/>
      <c r="C368" s="9" t="s">
        <v>145</v>
      </c>
      <c r="D368" s="9" t="s">
        <v>145</v>
      </c>
      <c r="E368" s="9" t="s">
        <v>145</v>
      </c>
    </row>
    <row r="369">
      <c r="A369" s="9"/>
      <c r="B369" s="9"/>
      <c r="C369" s="9" t="s">
        <v>145</v>
      </c>
      <c r="D369" s="9" t="s">
        <v>145</v>
      </c>
      <c r="E369" s="9" t="s">
        <v>145</v>
      </c>
    </row>
    <row r="370">
      <c r="A370" s="9"/>
      <c r="B370" s="9"/>
      <c r="C370" s="9" t="s">
        <v>145</v>
      </c>
      <c r="D370" s="9" t="s">
        <v>145</v>
      </c>
      <c r="E370" s="9" t="s">
        <v>145</v>
      </c>
    </row>
    <row r="371">
      <c r="A371" s="9"/>
      <c r="B371" s="9"/>
      <c r="C371" s="9" t="s">
        <v>145</v>
      </c>
      <c r="D371" s="9" t="s">
        <v>145</v>
      </c>
      <c r="E371" s="9" t="s">
        <v>145</v>
      </c>
    </row>
    <row r="372">
      <c r="A372" s="9"/>
      <c r="B372" s="9"/>
      <c r="C372" s="9" t="s">
        <v>145</v>
      </c>
      <c r="D372" s="9" t="s">
        <v>145</v>
      </c>
      <c r="E372" s="9" t="s">
        <v>145</v>
      </c>
    </row>
    <row r="373">
      <c r="A373" s="9"/>
      <c r="B373" s="9"/>
      <c r="C373" s="9" t="s">
        <v>145</v>
      </c>
      <c r="D373" s="9" t="s">
        <v>145</v>
      </c>
      <c r="E373" s="9" t="s">
        <v>145</v>
      </c>
    </row>
    <row r="374">
      <c r="A374" s="9"/>
      <c r="B374" s="9"/>
      <c r="C374" s="9" t="s">
        <v>145</v>
      </c>
      <c r="D374" s="9" t="s">
        <v>145</v>
      </c>
      <c r="E374" s="9" t="s">
        <v>145</v>
      </c>
    </row>
    <row r="375">
      <c r="A375" s="9"/>
      <c r="B375" s="9"/>
      <c r="C375" s="9" t="s">
        <v>145</v>
      </c>
      <c r="D375" s="9" t="s">
        <v>145</v>
      </c>
      <c r="E375" s="9" t="s">
        <v>145</v>
      </c>
    </row>
    <row r="376">
      <c r="A376" s="9"/>
      <c r="B376" s="9"/>
      <c r="C376" s="9" t="s">
        <v>145</v>
      </c>
      <c r="D376" s="9" t="s">
        <v>145</v>
      </c>
      <c r="E376" s="9" t="s">
        <v>145</v>
      </c>
    </row>
    <row r="377">
      <c r="A377" s="9"/>
      <c r="B377" s="9"/>
      <c r="C377" s="9" t="s">
        <v>145</v>
      </c>
      <c r="D377" s="9" t="s">
        <v>145</v>
      </c>
      <c r="E377" s="9" t="s">
        <v>145</v>
      </c>
    </row>
    <row r="378">
      <c r="A378" s="9"/>
      <c r="B378" s="9"/>
      <c r="C378" s="9" t="s">
        <v>145</v>
      </c>
      <c r="D378" s="9" t="s">
        <v>145</v>
      </c>
      <c r="E378" s="9" t="s">
        <v>145</v>
      </c>
    </row>
    <row r="379">
      <c r="A379" s="9"/>
      <c r="B379" s="9"/>
      <c r="C379" s="9" t="s">
        <v>145</v>
      </c>
      <c r="D379" s="9" t="s">
        <v>145</v>
      </c>
      <c r="E379" s="9" t="s">
        <v>145</v>
      </c>
    </row>
    <row r="380">
      <c r="A380" s="9"/>
      <c r="B380" s="9"/>
      <c r="C380" s="9" t="s">
        <v>145</v>
      </c>
      <c r="D380" s="9" t="s">
        <v>145</v>
      </c>
      <c r="E380" s="9" t="s">
        <v>145</v>
      </c>
    </row>
    <row r="381">
      <c r="A381" s="9"/>
      <c r="B381" s="9"/>
      <c r="C381" s="9" t="s">
        <v>145</v>
      </c>
      <c r="D381" s="9" t="s">
        <v>145</v>
      </c>
      <c r="E381" s="9" t="s">
        <v>145</v>
      </c>
    </row>
    <row r="382">
      <c r="A382" s="9"/>
      <c r="B382" s="9"/>
      <c r="C382" s="9" t="s">
        <v>145</v>
      </c>
      <c r="D382" s="9" t="s">
        <v>145</v>
      </c>
      <c r="E382" s="9" t="s">
        <v>145</v>
      </c>
    </row>
    <row r="383">
      <c r="A383" s="9"/>
      <c r="B383" s="9"/>
      <c r="C383" s="9" t="s">
        <v>145</v>
      </c>
      <c r="D383" s="9" t="s">
        <v>145</v>
      </c>
      <c r="E383" s="9" t="s">
        <v>145</v>
      </c>
    </row>
    <row r="384">
      <c r="A384" s="9"/>
      <c r="B384" s="9"/>
      <c r="C384" s="9" t="s">
        <v>145</v>
      </c>
      <c r="D384" s="9" t="s">
        <v>145</v>
      </c>
      <c r="E384" s="9" t="s">
        <v>145</v>
      </c>
    </row>
    <row r="385">
      <c r="A385" s="9"/>
      <c r="B385" s="9"/>
      <c r="C385" s="9" t="s">
        <v>145</v>
      </c>
      <c r="D385" s="9" t="s">
        <v>145</v>
      </c>
      <c r="E385" s="9" t="s">
        <v>145</v>
      </c>
    </row>
    <row r="386">
      <c r="A386" s="9"/>
      <c r="B386" s="9"/>
      <c r="C386" s="9" t="s">
        <v>145</v>
      </c>
      <c r="D386" s="9" t="s">
        <v>145</v>
      </c>
      <c r="E386" s="9" t="s">
        <v>145</v>
      </c>
    </row>
    <row r="387">
      <c r="A387" s="9"/>
      <c r="B387" s="9"/>
      <c r="C387" s="9" t="s">
        <v>145</v>
      </c>
      <c r="D387" s="9" t="s">
        <v>145</v>
      </c>
      <c r="E387" s="9" t="s">
        <v>145</v>
      </c>
    </row>
    <row r="388">
      <c r="A388" s="9"/>
      <c r="B388" s="9"/>
      <c r="C388" s="9" t="s">
        <v>145</v>
      </c>
      <c r="D388" s="9" t="s">
        <v>145</v>
      </c>
      <c r="E388" s="9" t="s">
        <v>145</v>
      </c>
    </row>
    <row r="389">
      <c r="A389" s="9"/>
      <c r="B389" s="9"/>
      <c r="C389" s="9" t="s">
        <v>145</v>
      </c>
      <c r="D389" s="9" t="s">
        <v>145</v>
      </c>
      <c r="E389" s="9" t="s">
        <v>145</v>
      </c>
    </row>
    <row r="390">
      <c r="A390" s="9"/>
      <c r="B390" s="9"/>
      <c r="C390" s="9" t="s">
        <v>145</v>
      </c>
      <c r="D390" s="9" t="s">
        <v>145</v>
      </c>
      <c r="E390" s="9" t="s">
        <v>145</v>
      </c>
    </row>
    <row r="391">
      <c r="A391" s="9"/>
      <c r="B391" s="9"/>
      <c r="C391" s="9" t="s">
        <v>145</v>
      </c>
      <c r="D391" s="9" t="s">
        <v>145</v>
      </c>
      <c r="E391" s="9" t="s">
        <v>145</v>
      </c>
    </row>
    <row r="392">
      <c r="A392" s="9"/>
      <c r="B392" s="9"/>
      <c r="C392" s="9" t="s">
        <v>145</v>
      </c>
      <c r="D392" s="9" t="s">
        <v>145</v>
      </c>
      <c r="E392" s="9" t="s">
        <v>145</v>
      </c>
    </row>
    <row r="393">
      <c r="A393" s="9"/>
      <c r="B393" s="9"/>
      <c r="C393" s="9" t="s">
        <v>145</v>
      </c>
      <c r="D393" s="9" t="s">
        <v>145</v>
      </c>
      <c r="E393" s="9" t="s">
        <v>145</v>
      </c>
    </row>
    <row r="394">
      <c r="A394" s="9"/>
      <c r="B394" s="9"/>
      <c r="C394" s="9" t="s">
        <v>145</v>
      </c>
      <c r="D394" s="9" t="s">
        <v>145</v>
      </c>
      <c r="E394" s="9" t="s">
        <v>145</v>
      </c>
    </row>
    <row r="395">
      <c r="A395" s="9"/>
      <c r="B395" s="9"/>
      <c r="C395" s="9" t="s">
        <v>145</v>
      </c>
      <c r="D395" s="9" t="s">
        <v>145</v>
      </c>
      <c r="E395" s="9" t="s">
        <v>145</v>
      </c>
    </row>
    <row r="396">
      <c r="A396" s="9"/>
      <c r="B396" s="9"/>
      <c r="C396" s="9" t="s">
        <v>145</v>
      </c>
      <c r="D396" s="9" t="s">
        <v>145</v>
      </c>
      <c r="E396" s="9" t="s">
        <v>145</v>
      </c>
    </row>
    <row r="397">
      <c r="A397" s="9"/>
      <c r="B397" s="9"/>
      <c r="C397" s="9" t="s">
        <v>145</v>
      </c>
      <c r="D397" s="9" t="s">
        <v>145</v>
      </c>
      <c r="E397" s="9" t="s">
        <v>145</v>
      </c>
    </row>
    <row r="398">
      <c r="A398" s="9"/>
      <c r="B398" s="9"/>
      <c r="C398" s="9" t="s">
        <v>145</v>
      </c>
      <c r="D398" s="9" t="s">
        <v>145</v>
      </c>
      <c r="E398" s="9" t="s">
        <v>145</v>
      </c>
    </row>
    <row r="399">
      <c r="A399" s="9"/>
      <c r="B399" s="9"/>
      <c r="C399" s="9" t="s">
        <v>145</v>
      </c>
      <c r="D399" s="9" t="s">
        <v>145</v>
      </c>
      <c r="E399" s="9" t="s">
        <v>145</v>
      </c>
    </row>
    <row r="400">
      <c r="A400" s="9"/>
      <c r="B400" s="9"/>
      <c r="C400" s="9" t="s">
        <v>145</v>
      </c>
      <c r="D400" s="9" t="s">
        <v>145</v>
      </c>
      <c r="E400" s="9" t="s">
        <v>145</v>
      </c>
    </row>
    <row r="401">
      <c r="A401" s="9"/>
      <c r="B401" s="9"/>
      <c r="C401" s="9" t="s">
        <v>145</v>
      </c>
      <c r="D401" s="9" t="s">
        <v>145</v>
      </c>
      <c r="E401" s="9" t="s">
        <v>145</v>
      </c>
    </row>
    <row r="402">
      <c r="A402" s="9"/>
      <c r="B402" s="9"/>
      <c r="C402" s="9" t="s">
        <v>145</v>
      </c>
      <c r="D402" s="9" t="s">
        <v>145</v>
      </c>
      <c r="E402" s="9" t="s">
        <v>145</v>
      </c>
    </row>
    <row r="403">
      <c r="A403" s="9"/>
      <c r="B403" s="9"/>
      <c r="C403" s="9" t="s">
        <v>145</v>
      </c>
      <c r="D403" s="9" t="s">
        <v>145</v>
      </c>
      <c r="E403" s="9" t="s">
        <v>145</v>
      </c>
    </row>
    <row r="404">
      <c r="A404" s="9"/>
      <c r="B404" s="9"/>
      <c r="C404" s="9" t="s">
        <v>145</v>
      </c>
      <c r="D404" s="9" t="s">
        <v>145</v>
      </c>
      <c r="E404" s="9" t="s">
        <v>145</v>
      </c>
    </row>
    <row r="405">
      <c r="A405" s="9"/>
      <c r="B405" s="9"/>
      <c r="C405" s="9" t="s">
        <v>145</v>
      </c>
      <c r="D405" s="9" t="s">
        <v>145</v>
      </c>
      <c r="E405" s="9" t="s">
        <v>145</v>
      </c>
    </row>
    <row r="406">
      <c r="A406" s="9"/>
      <c r="B406" s="9"/>
      <c r="C406" s="9" t="s">
        <v>145</v>
      </c>
      <c r="D406" s="9" t="s">
        <v>145</v>
      </c>
      <c r="E406" s="9" t="s">
        <v>145</v>
      </c>
    </row>
    <row r="407">
      <c r="A407" s="9"/>
      <c r="B407" s="9"/>
      <c r="C407" s="9" t="s">
        <v>145</v>
      </c>
      <c r="D407" s="9" t="s">
        <v>145</v>
      </c>
      <c r="E407" s="9" t="s">
        <v>145</v>
      </c>
    </row>
    <row r="408">
      <c r="A408" s="9"/>
      <c r="B408" s="9"/>
      <c r="C408" s="9" t="s">
        <v>145</v>
      </c>
      <c r="D408" s="9" t="s">
        <v>145</v>
      </c>
      <c r="E408" s="9" t="s">
        <v>145</v>
      </c>
    </row>
    <row r="409">
      <c r="A409" s="9"/>
      <c r="B409" s="9"/>
      <c r="C409" s="9" t="s">
        <v>145</v>
      </c>
      <c r="D409" s="9" t="s">
        <v>145</v>
      </c>
      <c r="E409" s="9" t="s">
        <v>145</v>
      </c>
    </row>
    <row r="410">
      <c r="A410" s="9"/>
      <c r="B410" s="9"/>
      <c r="C410" s="9" t="s">
        <v>145</v>
      </c>
      <c r="D410" s="9" t="s">
        <v>145</v>
      </c>
      <c r="E410" s="9" t="s">
        <v>145</v>
      </c>
    </row>
    <row r="411">
      <c r="A411" s="9"/>
      <c r="B411" s="9"/>
      <c r="C411" s="9" t="s">
        <v>145</v>
      </c>
      <c r="D411" s="9" t="s">
        <v>145</v>
      </c>
      <c r="E411" s="9" t="s">
        <v>145</v>
      </c>
    </row>
    <row r="412">
      <c r="A412" s="9"/>
      <c r="B412" s="9"/>
      <c r="C412" s="9" t="s">
        <v>145</v>
      </c>
      <c r="D412" s="9" t="s">
        <v>145</v>
      </c>
      <c r="E412" s="9" t="s">
        <v>145</v>
      </c>
    </row>
    <row r="413">
      <c r="A413" s="9"/>
      <c r="B413" s="9"/>
      <c r="C413" s="9" t="s">
        <v>145</v>
      </c>
      <c r="D413" s="9" t="s">
        <v>145</v>
      </c>
      <c r="E413" s="9" t="s">
        <v>145</v>
      </c>
    </row>
    <row r="414">
      <c r="A414" s="9"/>
      <c r="B414" s="9"/>
      <c r="C414" s="9" t="s">
        <v>145</v>
      </c>
      <c r="D414" s="9" t="s">
        <v>145</v>
      </c>
      <c r="E414" s="9" t="s">
        <v>145</v>
      </c>
    </row>
    <row r="415">
      <c r="A415" s="9"/>
      <c r="B415" s="9"/>
      <c r="C415" s="9" t="s">
        <v>145</v>
      </c>
      <c r="D415" s="9" t="s">
        <v>145</v>
      </c>
      <c r="E415" s="9" t="s">
        <v>145</v>
      </c>
    </row>
    <row r="416">
      <c r="A416" s="9"/>
      <c r="B416" s="9"/>
      <c r="C416" s="9" t="s">
        <v>145</v>
      </c>
      <c r="D416" s="9" t="s">
        <v>145</v>
      </c>
      <c r="E416" s="9" t="s">
        <v>145</v>
      </c>
    </row>
    <row r="417">
      <c r="A417" s="9"/>
      <c r="B417" s="9"/>
      <c r="C417" s="9" t="s">
        <v>145</v>
      </c>
      <c r="D417" s="9" t="s">
        <v>145</v>
      </c>
      <c r="E417" s="9" t="s">
        <v>145</v>
      </c>
    </row>
    <row r="418">
      <c r="A418" s="9"/>
      <c r="B418" s="9"/>
      <c r="C418" s="9" t="s">
        <v>145</v>
      </c>
      <c r="D418" s="9" t="s">
        <v>145</v>
      </c>
      <c r="E418" s="9" t="s">
        <v>145</v>
      </c>
    </row>
    <row r="419">
      <c r="A419" s="9"/>
      <c r="B419" s="9"/>
      <c r="C419" s="9" t="s">
        <v>145</v>
      </c>
      <c r="D419" s="9" t="s">
        <v>145</v>
      </c>
      <c r="E419" s="9" t="s">
        <v>145</v>
      </c>
    </row>
    <row r="420">
      <c r="A420" s="9"/>
      <c r="B420" s="9"/>
      <c r="C420" s="9" t="s">
        <v>145</v>
      </c>
      <c r="D420" s="9" t="s">
        <v>145</v>
      </c>
      <c r="E420" s="9" t="s">
        <v>145</v>
      </c>
    </row>
    <row r="421">
      <c r="A421" s="9"/>
      <c r="B421" s="9"/>
      <c r="C421" s="9" t="s">
        <v>145</v>
      </c>
      <c r="D421" s="9" t="s">
        <v>145</v>
      </c>
      <c r="E421" s="9" t="s">
        <v>145</v>
      </c>
    </row>
    <row r="422">
      <c r="A422" s="9"/>
      <c r="B422" s="9"/>
      <c r="C422" s="9" t="s">
        <v>145</v>
      </c>
      <c r="D422" s="9" t="s">
        <v>145</v>
      </c>
      <c r="E422" s="9" t="s">
        <v>145</v>
      </c>
    </row>
    <row r="423">
      <c r="A423" s="9"/>
      <c r="B423" s="9"/>
      <c r="C423" s="9" t="s">
        <v>145</v>
      </c>
      <c r="D423" s="9" t="s">
        <v>145</v>
      </c>
      <c r="E423" s="9" t="s">
        <v>145</v>
      </c>
    </row>
    <row r="424">
      <c r="A424" s="9"/>
      <c r="B424" s="9"/>
      <c r="C424" s="9" t="s">
        <v>145</v>
      </c>
      <c r="D424" s="9" t="s">
        <v>145</v>
      </c>
      <c r="E424" s="9" t="s">
        <v>145</v>
      </c>
    </row>
    <row r="425">
      <c r="A425" s="9"/>
      <c r="B425" s="9"/>
      <c r="C425" s="9" t="s">
        <v>145</v>
      </c>
      <c r="D425" s="9" t="s">
        <v>145</v>
      </c>
      <c r="E425" s="9" t="s">
        <v>145</v>
      </c>
    </row>
    <row r="426">
      <c r="A426" s="9"/>
      <c r="B426" s="9"/>
      <c r="C426" s="9" t="s">
        <v>145</v>
      </c>
      <c r="D426" s="9" t="s">
        <v>145</v>
      </c>
      <c r="E426" s="9" t="s">
        <v>145</v>
      </c>
    </row>
    <row r="427">
      <c r="A427" s="9"/>
      <c r="B427" s="9"/>
      <c r="C427" s="9" t="s">
        <v>145</v>
      </c>
      <c r="D427" s="9" t="s">
        <v>145</v>
      </c>
      <c r="E427" s="9" t="s">
        <v>145</v>
      </c>
    </row>
    <row r="428">
      <c r="A428" s="9"/>
      <c r="B428" s="9"/>
      <c r="C428" s="9" t="s">
        <v>145</v>
      </c>
      <c r="D428" s="9" t="s">
        <v>145</v>
      </c>
      <c r="E428" s="9" t="s">
        <v>145</v>
      </c>
    </row>
    <row r="429">
      <c r="A429" s="9"/>
      <c r="B429" s="9"/>
      <c r="C429" s="9" t="s">
        <v>145</v>
      </c>
      <c r="D429" s="9" t="s">
        <v>145</v>
      </c>
      <c r="E429" s="9" t="s">
        <v>145</v>
      </c>
    </row>
    <row r="430">
      <c r="A430" s="9"/>
      <c r="B430" s="9"/>
      <c r="C430" s="9" t="s">
        <v>145</v>
      </c>
      <c r="D430" s="9" t="s">
        <v>145</v>
      </c>
      <c r="E430" s="9" t="s">
        <v>145</v>
      </c>
    </row>
    <row r="431">
      <c r="A431" s="9"/>
      <c r="B431" s="9"/>
      <c r="C431" s="9" t="s">
        <v>145</v>
      </c>
      <c r="D431" s="9" t="s">
        <v>145</v>
      </c>
      <c r="E431" s="9" t="s">
        <v>145</v>
      </c>
    </row>
    <row r="432">
      <c r="A432" s="9"/>
      <c r="B432" s="9"/>
      <c r="C432" s="9" t="s">
        <v>145</v>
      </c>
      <c r="D432" s="9" t="s">
        <v>145</v>
      </c>
      <c r="E432" s="9" t="s">
        <v>145</v>
      </c>
    </row>
    <row r="433">
      <c r="A433" s="9"/>
      <c r="B433" s="9"/>
      <c r="C433" s="9" t="s">
        <v>145</v>
      </c>
      <c r="D433" s="9" t="s">
        <v>145</v>
      </c>
      <c r="E433" s="9" t="s">
        <v>145</v>
      </c>
    </row>
    <row r="434">
      <c r="A434" s="9"/>
      <c r="B434" s="9"/>
      <c r="C434" s="9" t="s">
        <v>145</v>
      </c>
      <c r="D434" s="9" t="s">
        <v>145</v>
      </c>
      <c r="E434" s="9" t="s">
        <v>145</v>
      </c>
    </row>
    <row r="435">
      <c r="A435" s="9"/>
      <c r="B435" s="9"/>
      <c r="C435" s="9" t="s">
        <v>145</v>
      </c>
      <c r="D435" s="9" t="s">
        <v>145</v>
      </c>
      <c r="E435" s="9" t="s">
        <v>145</v>
      </c>
    </row>
    <row r="436">
      <c r="A436" s="9"/>
      <c r="B436" s="9"/>
      <c r="C436" s="9" t="s">
        <v>145</v>
      </c>
      <c r="D436" s="9" t="s">
        <v>145</v>
      </c>
      <c r="E436" s="9" t="s">
        <v>145</v>
      </c>
    </row>
    <row r="437">
      <c r="A437" s="9"/>
      <c r="B437" s="9"/>
      <c r="C437" s="9" t="s">
        <v>145</v>
      </c>
      <c r="D437" s="9" t="s">
        <v>145</v>
      </c>
      <c r="E437" s="9" t="s">
        <v>145</v>
      </c>
    </row>
    <row r="438">
      <c r="A438" s="9"/>
      <c r="B438" s="9"/>
      <c r="C438" s="9" t="s">
        <v>145</v>
      </c>
      <c r="D438" s="9" t="s">
        <v>145</v>
      </c>
      <c r="E438" s="9" t="s">
        <v>145</v>
      </c>
    </row>
    <row r="439">
      <c r="A439" s="9"/>
      <c r="B439" s="9"/>
      <c r="C439" s="9" t="s">
        <v>145</v>
      </c>
      <c r="D439" s="9" t="s">
        <v>145</v>
      </c>
      <c r="E439" s="9" t="s">
        <v>145</v>
      </c>
    </row>
    <row r="440">
      <c r="A440" s="9"/>
      <c r="B440" s="9"/>
      <c r="C440" s="9" t="s">
        <v>145</v>
      </c>
      <c r="D440" s="9" t="s">
        <v>145</v>
      </c>
      <c r="E440" s="9" t="s">
        <v>145</v>
      </c>
    </row>
    <row r="441">
      <c r="A441" s="9"/>
      <c r="B441" s="9"/>
      <c r="C441" s="9" t="s">
        <v>145</v>
      </c>
      <c r="D441" s="9" t="s">
        <v>145</v>
      </c>
      <c r="E441" s="9" t="s">
        <v>145</v>
      </c>
    </row>
    <row r="442">
      <c r="A442" s="9"/>
      <c r="B442" s="9"/>
      <c r="C442" s="9" t="s">
        <v>145</v>
      </c>
      <c r="D442" s="9" t="s">
        <v>145</v>
      </c>
      <c r="E442" s="9" t="s">
        <v>145</v>
      </c>
    </row>
    <row r="443">
      <c r="A443" s="9"/>
      <c r="B443" s="9"/>
      <c r="C443" s="9" t="s">
        <v>145</v>
      </c>
      <c r="D443" s="9" t="s">
        <v>145</v>
      </c>
      <c r="E443" s="9" t="s">
        <v>145</v>
      </c>
    </row>
    <row r="444">
      <c r="A444" s="9"/>
      <c r="B444" s="9"/>
      <c r="C444" s="9" t="s">
        <v>145</v>
      </c>
      <c r="D444" s="9" t="s">
        <v>145</v>
      </c>
      <c r="E444" s="9" t="s">
        <v>145</v>
      </c>
    </row>
    <row r="445">
      <c r="A445" s="9"/>
      <c r="B445" s="9"/>
      <c r="C445" s="9" t="s">
        <v>145</v>
      </c>
      <c r="D445" s="9" t="s">
        <v>145</v>
      </c>
      <c r="E445" s="9" t="s">
        <v>145</v>
      </c>
    </row>
    <row r="446">
      <c r="A446" s="9"/>
      <c r="B446" s="9"/>
      <c r="C446" s="9" t="s">
        <v>145</v>
      </c>
      <c r="D446" s="9" t="s">
        <v>145</v>
      </c>
      <c r="E446" s="9" t="s">
        <v>145</v>
      </c>
    </row>
    <row r="447">
      <c r="A447" s="9"/>
      <c r="B447" s="9"/>
      <c r="C447" s="9" t="s">
        <v>145</v>
      </c>
      <c r="D447" s="9" t="s">
        <v>145</v>
      </c>
      <c r="E447" s="9" t="s">
        <v>145</v>
      </c>
    </row>
    <row r="448">
      <c r="A448" s="9"/>
      <c r="B448" s="9"/>
      <c r="C448" s="9" t="s">
        <v>145</v>
      </c>
      <c r="D448" s="9" t="s">
        <v>145</v>
      </c>
      <c r="E448" s="9" t="s">
        <v>145</v>
      </c>
    </row>
    <row r="449">
      <c r="A449" s="9"/>
      <c r="B449" s="9"/>
      <c r="C449" s="9" t="s">
        <v>145</v>
      </c>
      <c r="D449" s="9" t="s">
        <v>145</v>
      </c>
      <c r="E449" s="9" t="s">
        <v>145</v>
      </c>
    </row>
    <row r="450">
      <c r="A450" s="9"/>
      <c r="B450" s="9"/>
      <c r="C450" s="9" t="s">
        <v>145</v>
      </c>
      <c r="D450" s="9" t="s">
        <v>145</v>
      </c>
      <c r="E450" s="9" t="s">
        <v>145</v>
      </c>
    </row>
    <row r="451">
      <c r="A451" s="9"/>
      <c r="B451" s="9"/>
      <c r="C451" s="9" t="s">
        <v>145</v>
      </c>
      <c r="D451" s="9" t="s">
        <v>145</v>
      </c>
      <c r="E451" s="9" t="s">
        <v>145</v>
      </c>
    </row>
    <row r="452">
      <c r="A452" s="9"/>
      <c r="B452" s="9"/>
      <c r="C452" s="9" t="s">
        <v>145</v>
      </c>
      <c r="D452" s="9" t="s">
        <v>145</v>
      </c>
      <c r="E452" s="9" t="s">
        <v>145</v>
      </c>
    </row>
    <row r="453">
      <c r="A453" s="9"/>
      <c r="B453" s="9"/>
      <c r="C453" s="9" t="s">
        <v>145</v>
      </c>
      <c r="D453" s="9" t="s">
        <v>145</v>
      </c>
      <c r="E453" s="9" t="s">
        <v>145</v>
      </c>
    </row>
    <row r="454">
      <c r="A454" s="9"/>
      <c r="B454" s="9"/>
      <c r="C454" s="9" t="s">
        <v>145</v>
      </c>
      <c r="D454" s="9" t="s">
        <v>145</v>
      </c>
      <c r="E454" s="9" t="s">
        <v>145</v>
      </c>
    </row>
    <row r="455">
      <c r="A455" s="9"/>
      <c r="B455" s="9"/>
      <c r="C455" s="9" t="s">
        <v>145</v>
      </c>
      <c r="D455" s="9" t="s">
        <v>145</v>
      </c>
      <c r="E455" s="9" t="s">
        <v>145</v>
      </c>
    </row>
    <row r="456">
      <c r="A456" s="9"/>
      <c r="B456" s="9"/>
      <c r="C456" s="9" t="s">
        <v>145</v>
      </c>
      <c r="D456" s="9" t="s">
        <v>145</v>
      </c>
      <c r="E456" s="9" t="s">
        <v>145</v>
      </c>
    </row>
    <row r="457">
      <c r="A457" s="9"/>
      <c r="B457" s="9"/>
      <c r="C457" s="9" t="s">
        <v>145</v>
      </c>
      <c r="D457" s="9" t="s">
        <v>145</v>
      </c>
      <c r="E457" s="9" t="s">
        <v>145</v>
      </c>
    </row>
    <row r="458">
      <c r="A458" s="9"/>
      <c r="B458" s="9"/>
      <c r="C458" s="9" t="s">
        <v>145</v>
      </c>
      <c r="D458" s="9" t="s">
        <v>145</v>
      </c>
      <c r="E458" s="9" t="s">
        <v>145</v>
      </c>
    </row>
    <row r="459">
      <c r="A459" s="9"/>
      <c r="B459" s="9"/>
      <c r="C459" s="9" t="s">
        <v>145</v>
      </c>
      <c r="D459" s="9" t="s">
        <v>145</v>
      </c>
      <c r="E459" s="9" t="s">
        <v>145</v>
      </c>
    </row>
    <row r="460">
      <c r="A460" s="9"/>
      <c r="B460" s="9"/>
      <c r="C460" s="9" t="s">
        <v>145</v>
      </c>
      <c r="D460" s="9" t="s">
        <v>145</v>
      </c>
      <c r="E460" s="9" t="s">
        <v>145</v>
      </c>
    </row>
    <row r="461">
      <c r="A461" s="9"/>
      <c r="B461" s="9"/>
      <c r="C461" s="9" t="s">
        <v>145</v>
      </c>
      <c r="D461" s="9" t="s">
        <v>145</v>
      </c>
      <c r="E461" s="9" t="s">
        <v>145</v>
      </c>
    </row>
    <row r="462">
      <c r="A462" s="9"/>
      <c r="B462" s="9"/>
      <c r="C462" s="9" t="s">
        <v>145</v>
      </c>
      <c r="D462" s="9" t="s">
        <v>145</v>
      </c>
      <c r="E462" s="9" t="s">
        <v>145</v>
      </c>
    </row>
    <row r="463">
      <c r="A463" s="9"/>
      <c r="B463" s="9"/>
      <c r="C463" s="9" t="s">
        <v>145</v>
      </c>
      <c r="D463" s="9" t="s">
        <v>145</v>
      </c>
      <c r="E463" s="9" t="s">
        <v>145</v>
      </c>
    </row>
    <row r="464">
      <c r="A464" s="9"/>
      <c r="B464" s="9"/>
      <c r="C464" s="9" t="s">
        <v>145</v>
      </c>
      <c r="D464" s="9" t="s">
        <v>145</v>
      </c>
      <c r="E464" s="9" t="s">
        <v>145</v>
      </c>
    </row>
    <row r="465">
      <c r="A465" s="9"/>
      <c r="B465" s="9"/>
      <c r="C465" s="9" t="s">
        <v>145</v>
      </c>
      <c r="D465" s="9" t="s">
        <v>145</v>
      </c>
      <c r="E465" s="9" t="s">
        <v>145</v>
      </c>
    </row>
    <row r="466">
      <c r="A466" s="9"/>
      <c r="B466" s="9"/>
      <c r="C466" s="9" t="s">
        <v>145</v>
      </c>
      <c r="D466" s="9" t="s">
        <v>145</v>
      </c>
      <c r="E466" s="9" t="s">
        <v>145</v>
      </c>
    </row>
    <row r="467">
      <c r="A467" s="9"/>
      <c r="B467" s="9"/>
      <c r="C467" s="9" t="s">
        <v>145</v>
      </c>
      <c r="D467" s="9" t="s">
        <v>145</v>
      </c>
      <c r="E467" s="9" t="s">
        <v>145</v>
      </c>
    </row>
    <row r="468">
      <c r="A468" s="9"/>
      <c r="B468" s="9"/>
      <c r="C468" s="9" t="s">
        <v>145</v>
      </c>
      <c r="D468" s="9" t="s">
        <v>145</v>
      </c>
      <c r="E468" s="9" t="s">
        <v>145</v>
      </c>
    </row>
    <row r="469">
      <c r="A469" s="9"/>
      <c r="B469" s="9"/>
      <c r="C469" s="9" t="s">
        <v>145</v>
      </c>
      <c r="D469" s="9" t="s">
        <v>145</v>
      </c>
      <c r="E469" s="9" t="s">
        <v>145</v>
      </c>
    </row>
    <row r="470">
      <c r="A470" s="9"/>
      <c r="B470" s="9"/>
      <c r="C470" s="9" t="s">
        <v>145</v>
      </c>
      <c r="D470" s="9" t="s">
        <v>145</v>
      </c>
      <c r="E470" s="9" t="s">
        <v>145</v>
      </c>
    </row>
    <row r="471">
      <c r="A471" s="9"/>
      <c r="B471" s="9"/>
      <c r="C471" s="9" t="s">
        <v>145</v>
      </c>
      <c r="D471" s="9" t="s">
        <v>145</v>
      </c>
      <c r="E471" s="9" t="s">
        <v>145</v>
      </c>
    </row>
    <row r="472">
      <c r="A472" s="9"/>
      <c r="B472" s="9"/>
      <c r="C472" s="9" t="s">
        <v>145</v>
      </c>
      <c r="D472" s="9" t="s">
        <v>145</v>
      </c>
      <c r="E472" s="9" t="s">
        <v>145</v>
      </c>
    </row>
    <row r="473">
      <c r="A473" s="9"/>
      <c r="B473" s="9"/>
      <c r="C473" s="9" t="s">
        <v>145</v>
      </c>
      <c r="D473" s="9" t="s">
        <v>145</v>
      </c>
      <c r="E473" s="9" t="s">
        <v>145</v>
      </c>
    </row>
    <row r="474">
      <c r="A474" s="9"/>
      <c r="B474" s="9"/>
      <c r="C474" s="9" t="s">
        <v>145</v>
      </c>
      <c r="D474" s="9" t="s">
        <v>145</v>
      </c>
      <c r="E474" s="9" t="s">
        <v>145</v>
      </c>
    </row>
    <row r="475">
      <c r="A475" s="9"/>
      <c r="B475" s="9"/>
      <c r="C475" s="9" t="s">
        <v>145</v>
      </c>
      <c r="D475" s="9" t="s">
        <v>145</v>
      </c>
      <c r="E475" s="9" t="s">
        <v>145</v>
      </c>
    </row>
    <row r="476">
      <c r="A476" s="9"/>
      <c r="B476" s="9"/>
      <c r="C476" s="9" t="s">
        <v>145</v>
      </c>
      <c r="D476" s="9" t="s">
        <v>145</v>
      </c>
      <c r="E476" s="9" t="s">
        <v>145</v>
      </c>
    </row>
    <row r="477">
      <c r="A477" s="9"/>
      <c r="B477" s="9"/>
      <c r="C477" s="9" t="s">
        <v>145</v>
      </c>
      <c r="D477" s="9" t="s">
        <v>145</v>
      </c>
      <c r="E477" s="9" t="s">
        <v>145</v>
      </c>
    </row>
    <row r="478">
      <c r="A478" s="9"/>
      <c r="B478" s="9"/>
      <c r="C478" s="9" t="s">
        <v>145</v>
      </c>
      <c r="D478" s="9" t="s">
        <v>145</v>
      </c>
      <c r="E478" s="9" t="s">
        <v>145</v>
      </c>
    </row>
    <row r="479">
      <c r="A479" s="9"/>
      <c r="B479" s="9"/>
      <c r="C479" s="9" t="s">
        <v>145</v>
      </c>
      <c r="D479" s="9" t="s">
        <v>145</v>
      </c>
      <c r="E479" s="9" t="s">
        <v>145</v>
      </c>
    </row>
    <row r="480">
      <c r="A480" s="9"/>
      <c r="B480" s="9"/>
      <c r="C480" s="9" t="s">
        <v>145</v>
      </c>
      <c r="D480" s="9" t="s">
        <v>145</v>
      </c>
      <c r="E480" s="9" t="s">
        <v>145</v>
      </c>
    </row>
    <row r="481">
      <c r="A481" s="9"/>
      <c r="B481" s="9"/>
      <c r="C481" s="9" t="s">
        <v>145</v>
      </c>
      <c r="D481" s="9" t="s">
        <v>145</v>
      </c>
      <c r="E481" s="9" t="s">
        <v>145</v>
      </c>
    </row>
    <row r="482">
      <c r="A482" s="9"/>
      <c r="B482" s="9"/>
      <c r="C482" s="9" t="s">
        <v>145</v>
      </c>
      <c r="D482" s="9" t="s">
        <v>145</v>
      </c>
      <c r="E482" s="9" t="s">
        <v>145</v>
      </c>
    </row>
    <row r="483">
      <c r="A483" s="9"/>
      <c r="B483" s="9"/>
      <c r="C483" s="9" t="s">
        <v>145</v>
      </c>
      <c r="D483" s="9" t="s">
        <v>145</v>
      </c>
      <c r="E483" s="9" t="s">
        <v>145</v>
      </c>
    </row>
    <row r="484">
      <c r="A484" s="9"/>
      <c r="B484" s="9"/>
      <c r="C484" s="9" t="s">
        <v>145</v>
      </c>
      <c r="D484" s="9" t="s">
        <v>145</v>
      </c>
      <c r="E484" s="9" t="s">
        <v>145</v>
      </c>
    </row>
    <row r="485">
      <c r="A485" s="9"/>
      <c r="B485" s="9"/>
      <c r="C485" s="9" t="s">
        <v>145</v>
      </c>
      <c r="D485" s="9" t="s">
        <v>145</v>
      </c>
      <c r="E485" s="9" t="s">
        <v>145</v>
      </c>
    </row>
    <row r="486">
      <c r="A486" s="9"/>
      <c r="B486" s="9"/>
      <c r="C486" s="9" t="s">
        <v>145</v>
      </c>
      <c r="D486" s="9" t="s">
        <v>145</v>
      </c>
      <c r="E486" s="9" t="s">
        <v>145</v>
      </c>
    </row>
    <row r="487">
      <c r="A487" s="9"/>
      <c r="B487" s="9"/>
      <c r="C487" s="9" t="s">
        <v>145</v>
      </c>
      <c r="D487" s="9" t="s">
        <v>145</v>
      </c>
      <c r="E487" s="9" t="s">
        <v>145</v>
      </c>
    </row>
    <row r="488">
      <c r="A488" s="9"/>
      <c r="B488" s="9"/>
      <c r="C488" s="9" t="s">
        <v>145</v>
      </c>
      <c r="D488" s="9" t="s">
        <v>145</v>
      </c>
      <c r="E488" s="9" t="s">
        <v>145</v>
      </c>
    </row>
    <row r="489">
      <c r="A489" s="9"/>
      <c r="B489" s="9"/>
      <c r="C489" s="9" t="s">
        <v>145</v>
      </c>
      <c r="D489" s="9" t="s">
        <v>145</v>
      </c>
      <c r="E489" s="9" t="s">
        <v>145</v>
      </c>
    </row>
    <row r="490">
      <c r="A490" s="9"/>
      <c r="B490" s="9"/>
      <c r="C490" s="9" t="s">
        <v>145</v>
      </c>
      <c r="D490" s="9" t="s">
        <v>145</v>
      </c>
      <c r="E490" s="9" t="s">
        <v>145</v>
      </c>
    </row>
    <row r="491">
      <c r="A491" s="9"/>
      <c r="B491" s="9"/>
      <c r="C491" s="9" t="s">
        <v>145</v>
      </c>
      <c r="D491" s="9" t="s">
        <v>145</v>
      </c>
      <c r="E491" s="9" t="s">
        <v>145</v>
      </c>
    </row>
    <row r="492">
      <c r="A492" s="9"/>
      <c r="B492" s="9"/>
      <c r="C492" s="9" t="s">
        <v>145</v>
      </c>
      <c r="D492" s="9" t="s">
        <v>145</v>
      </c>
      <c r="E492" s="9" t="s">
        <v>145</v>
      </c>
    </row>
    <row r="493">
      <c r="A493" s="9"/>
      <c r="B493" s="9"/>
      <c r="C493" s="9" t="s">
        <v>145</v>
      </c>
      <c r="D493" s="9" t="s">
        <v>145</v>
      </c>
      <c r="E493" s="9" t="s">
        <v>145</v>
      </c>
    </row>
    <row r="494">
      <c r="A494" s="9"/>
      <c r="B494" s="9"/>
      <c r="C494" s="9" t="s">
        <v>145</v>
      </c>
      <c r="D494" s="9" t="s">
        <v>145</v>
      </c>
      <c r="E494" s="9" t="s">
        <v>145</v>
      </c>
    </row>
    <row r="495">
      <c r="A495" s="9"/>
      <c r="B495" s="9"/>
      <c r="C495" s="9" t="s">
        <v>145</v>
      </c>
      <c r="D495" s="9" t="s">
        <v>145</v>
      </c>
      <c r="E495" s="9" t="s">
        <v>145</v>
      </c>
    </row>
    <row r="496">
      <c r="A496" s="9"/>
      <c r="B496" s="9"/>
      <c r="C496" s="9" t="s">
        <v>145</v>
      </c>
      <c r="D496" s="9" t="s">
        <v>145</v>
      </c>
      <c r="E496" s="9" t="s">
        <v>145</v>
      </c>
    </row>
    <row r="497">
      <c r="A497" s="9"/>
      <c r="B497" s="9"/>
      <c r="C497" s="9" t="s">
        <v>145</v>
      </c>
      <c r="D497" s="9" t="s">
        <v>145</v>
      </c>
      <c r="E497" s="9" t="s">
        <v>145</v>
      </c>
    </row>
    <row r="498">
      <c r="A498" s="9"/>
      <c r="B498" s="9"/>
      <c r="C498" s="9" t="s">
        <v>145</v>
      </c>
      <c r="D498" s="9" t="s">
        <v>145</v>
      </c>
      <c r="E498" s="9" t="s">
        <v>145</v>
      </c>
    </row>
    <row r="499">
      <c r="A499" s="9"/>
      <c r="B499" s="9"/>
      <c r="C499" s="9" t="s">
        <v>145</v>
      </c>
      <c r="D499" s="9" t="s">
        <v>145</v>
      </c>
      <c r="E499" s="9" t="s">
        <v>145</v>
      </c>
    </row>
    <row r="500">
      <c r="A500" s="9"/>
      <c r="B500" s="9"/>
      <c r="C500" s="9" t="s">
        <v>145</v>
      </c>
      <c r="D500" s="9" t="s">
        <v>145</v>
      </c>
      <c r="E500" s="9" t="s">
        <v>145</v>
      </c>
    </row>
    <row r="501">
      <c r="A501" s="9"/>
      <c r="B501" s="9"/>
      <c r="C501" s="9" t="s">
        <v>145</v>
      </c>
      <c r="D501" s="9" t="s">
        <v>145</v>
      </c>
      <c r="E501" s="9" t="s">
        <v>145</v>
      </c>
    </row>
    <row r="502">
      <c r="A502" s="9"/>
      <c r="B502" s="9"/>
      <c r="C502" s="9" t="s">
        <v>145</v>
      </c>
      <c r="D502" s="9" t="s">
        <v>145</v>
      </c>
      <c r="E502" s="9" t="s">
        <v>145</v>
      </c>
    </row>
    <row r="503">
      <c r="A503" s="9"/>
      <c r="B503" s="9"/>
      <c r="C503" s="9" t="s">
        <v>145</v>
      </c>
      <c r="D503" s="9" t="s">
        <v>145</v>
      </c>
      <c r="E503" s="9" t="s">
        <v>145</v>
      </c>
    </row>
    <row r="504">
      <c r="A504" s="9"/>
      <c r="B504" s="9"/>
      <c r="C504" s="9" t="s">
        <v>145</v>
      </c>
      <c r="D504" s="9" t="s">
        <v>145</v>
      </c>
      <c r="E504" s="9" t="s">
        <v>145</v>
      </c>
    </row>
    <row r="505">
      <c r="A505" s="9"/>
      <c r="B505" s="9"/>
      <c r="C505" s="9" t="s">
        <v>145</v>
      </c>
      <c r="D505" s="9" t="s">
        <v>145</v>
      </c>
      <c r="E505" s="9" t="s">
        <v>145</v>
      </c>
    </row>
    <row r="506">
      <c r="A506" s="9"/>
      <c r="B506" s="9"/>
      <c r="C506" s="9" t="s">
        <v>145</v>
      </c>
      <c r="D506" s="9" t="s">
        <v>145</v>
      </c>
      <c r="E506" s="9" t="s">
        <v>145</v>
      </c>
    </row>
    <row r="507">
      <c r="A507" s="9"/>
      <c r="B507" s="9"/>
      <c r="C507" s="9" t="s">
        <v>145</v>
      </c>
      <c r="D507" s="9" t="s">
        <v>145</v>
      </c>
      <c r="E507" s="9" t="s">
        <v>145</v>
      </c>
    </row>
    <row r="508">
      <c r="A508" s="9"/>
      <c r="B508" s="9"/>
      <c r="C508" s="9" t="s">
        <v>145</v>
      </c>
      <c r="D508" s="9" t="s">
        <v>145</v>
      </c>
      <c r="E508" s="9" t="s">
        <v>145</v>
      </c>
    </row>
    <row r="509">
      <c r="A509" s="9"/>
      <c r="B509" s="9"/>
      <c r="C509" s="9" t="s">
        <v>145</v>
      </c>
      <c r="D509" s="9" t="s">
        <v>145</v>
      </c>
      <c r="E509" s="9" t="s">
        <v>145</v>
      </c>
    </row>
    <row r="510">
      <c r="A510" s="9"/>
      <c r="B510" s="9"/>
      <c r="C510" s="9" t="s">
        <v>145</v>
      </c>
      <c r="D510" s="9" t="s">
        <v>145</v>
      </c>
      <c r="E510" s="9" t="s">
        <v>145</v>
      </c>
    </row>
    <row r="511">
      <c r="A511" s="9"/>
      <c r="B511" s="9"/>
      <c r="C511" s="9" t="s">
        <v>145</v>
      </c>
      <c r="D511" s="9" t="s">
        <v>145</v>
      </c>
      <c r="E511" s="9" t="s">
        <v>145</v>
      </c>
    </row>
    <row r="512">
      <c r="A512" s="9"/>
      <c r="B512" s="9"/>
      <c r="C512" s="9" t="s">
        <v>145</v>
      </c>
      <c r="D512" s="9" t="s">
        <v>145</v>
      </c>
      <c r="E512" s="9" t="s">
        <v>145</v>
      </c>
    </row>
    <row r="513">
      <c r="A513" s="9"/>
      <c r="B513" s="9"/>
      <c r="C513" s="9" t="s">
        <v>145</v>
      </c>
      <c r="D513" s="9" t="s">
        <v>145</v>
      </c>
      <c r="E513" s="9" t="s">
        <v>145</v>
      </c>
    </row>
    <row r="514">
      <c r="A514" s="9"/>
      <c r="B514" s="9"/>
      <c r="C514" s="9" t="s">
        <v>145</v>
      </c>
      <c r="D514" s="9" t="s">
        <v>145</v>
      </c>
      <c r="E514" s="9" t="s">
        <v>145</v>
      </c>
    </row>
    <row r="515">
      <c r="A515" s="9"/>
      <c r="B515" s="9"/>
      <c r="C515" s="9" t="s">
        <v>145</v>
      </c>
      <c r="D515" s="9" t="s">
        <v>145</v>
      </c>
      <c r="E515" s="9" t="s">
        <v>145</v>
      </c>
    </row>
    <row r="516">
      <c r="A516" s="9"/>
      <c r="B516" s="9"/>
      <c r="C516" s="9" t="s">
        <v>145</v>
      </c>
      <c r="D516" s="9" t="s">
        <v>145</v>
      </c>
      <c r="E516" s="9" t="s">
        <v>145</v>
      </c>
    </row>
    <row r="517">
      <c r="A517" s="9"/>
      <c r="B517" s="9"/>
      <c r="C517" s="9" t="s">
        <v>145</v>
      </c>
      <c r="D517" s="9" t="s">
        <v>145</v>
      </c>
      <c r="E517" s="9" t="s">
        <v>145</v>
      </c>
    </row>
    <row r="518">
      <c r="A518" s="9"/>
      <c r="B518" s="9"/>
      <c r="C518" s="9" t="s">
        <v>145</v>
      </c>
      <c r="D518" s="9" t="s">
        <v>145</v>
      </c>
      <c r="E518" s="9" t="s">
        <v>145</v>
      </c>
    </row>
    <row r="519">
      <c r="A519" s="9"/>
      <c r="B519" s="9"/>
      <c r="C519" s="9" t="s">
        <v>145</v>
      </c>
      <c r="D519" s="9" t="s">
        <v>145</v>
      </c>
      <c r="E519" s="9" t="s">
        <v>145</v>
      </c>
    </row>
    <row r="520">
      <c r="A520" s="9"/>
      <c r="B520" s="9"/>
      <c r="C520" s="9" t="s">
        <v>145</v>
      </c>
      <c r="D520" s="9" t="s">
        <v>145</v>
      </c>
      <c r="E520" s="9" t="s">
        <v>145</v>
      </c>
    </row>
    <row r="521">
      <c r="A521" s="9"/>
      <c r="B521" s="9"/>
      <c r="C521" s="9" t="s">
        <v>145</v>
      </c>
      <c r="D521" s="9" t="s">
        <v>145</v>
      </c>
      <c r="E521" s="9" t="s">
        <v>145</v>
      </c>
    </row>
    <row r="522">
      <c r="A522" s="9"/>
      <c r="B522" s="9"/>
      <c r="C522" s="9" t="s">
        <v>145</v>
      </c>
      <c r="D522" s="9" t="s">
        <v>145</v>
      </c>
      <c r="E522" s="9" t="s">
        <v>145</v>
      </c>
    </row>
    <row r="523">
      <c r="A523" s="9"/>
      <c r="B523" s="9"/>
      <c r="C523" s="9" t="s">
        <v>145</v>
      </c>
      <c r="D523" s="9" t="s">
        <v>145</v>
      </c>
      <c r="E523" s="9" t="s">
        <v>145</v>
      </c>
    </row>
    <row r="524">
      <c r="A524" s="9"/>
      <c r="B524" s="9"/>
      <c r="C524" s="9" t="s">
        <v>145</v>
      </c>
      <c r="D524" s="9" t="s">
        <v>145</v>
      </c>
      <c r="E524" s="9" t="s">
        <v>145</v>
      </c>
    </row>
    <row r="525">
      <c r="A525" s="9"/>
      <c r="B525" s="9"/>
      <c r="C525" s="9" t="s">
        <v>145</v>
      </c>
      <c r="D525" s="9" t="s">
        <v>145</v>
      </c>
      <c r="E525" s="9" t="s">
        <v>145</v>
      </c>
    </row>
    <row r="526">
      <c r="A526" s="9"/>
      <c r="B526" s="9"/>
      <c r="C526" s="9" t="s">
        <v>145</v>
      </c>
      <c r="D526" s="9" t="s">
        <v>145</v>
      </c>
      <c r="E526" s="9" t="s">
        <v>145</v>
      </c>
    </row>
    <row r="527">
      <c r="A527" s="9"/>
      <c r="B527" s="9"/>
      <c r="C527" s="9" t="s">
        <v>145</v>
      </c>
      <c r="D527" s="9" t="s">
        <v>145</v>
      </c>
      <c r="E527" s="9" t="s">
        <v>145</v>
      </c>
    </row>
    <row r="528">
      <c r="A528" s="9"/>
      <c r="B528" s="9"/>
      <c r="C528" s="9" t="s">
        <v>145</v>
      </c>
      <c r="D528" s="9" t="s">
        <v>145</v>
      </c>
      <c r="E528" s="9" t="s">
        <v>145</v>
      </c>
    </row>
    <row r="529">
      <c r="A529" s="9"/>
      <c r="B529" s="9"/>
      <c r="C529" s="9" t="s">
        <v>145</v>
      </c>
      <c r="D529" s="9" t="s">
        <v>145</v>
      </c>
      <c r="E529" s="9" t="s">
        <v>145</v>
      </c>
    </row>
    <row r="530">
      <c r="A530" s="9"/>
      <c r="B530" s="9"/>
      <c r="C530" s="9" t="s">
        <v>145</v>
      </c>
      <c r="D530" s="9" t="s">
        <v>145</v>
      </c>
      <c r="E530" s="9" t="s">
        <v>145</v>
      </c>
    </row>
    <row r="531">
      <c r="A531" s="9"/>
      <c r="B531" s="9"/>
      <c r="C531" s="9" t="s">
        <v>145</v>
      </c>
      <c r="D531" s="9" t="s">
        <v>145</v>
      </c>
      <c r="E531" s="9" t="s">
        <v>145</v>
      </c>
    </row>
    <row r="532">
      <c r="A532" s="9"/>
      <c r="B532" s="9"/>
      <c r="C532" s="9" t="s">
        <v>145</v>
      </c>
      <c r="D532" s="9" t="s">
        <v>145</v>
      </c>
      <c r="E532" s="9" t="s">
        <v>145</v>
      </c>
    </row>
    <row r="533">
      <c r="A533" s="9"/>
      <c r="B533" s="9"/>
      <c r="C533" s="9" t="s">
        <v>145</v>
      </c>
      <c r="D533" s="9" t="s">
        <v>145</v>
      </c>
      <c r="E533" s="9" t="s">
        <v>145</v>
      </c>
    </row>
    <row r="534">
      <c r="A534" s="9"/>
      <c r="B534" s="9"/>
      <c r="C534" s="9" t="s">
        <v>145</v>
      </c>
      <c r="D534" s="9" t="s">
        <v>145</v>
      </c>
      <c r="E534" s="9" t="s">
        <v>145</v>
      </c>
    </row>
    <row r="535">
      <c r="A535" s="9"/>
      <c r="B535" s="9"/>
      <c r="C535" s="9" t="s">
        <v>145</v>
      </c>
      <c r="D535" s="9" t="s">
        <v>145</v>
      </c>
      <c r="E535" s="9" t="s">
        <v>145</v>
      </c>
    </row>
    <row r="536">
      <c r="A536" s="9"/>
      <c r="B536" s="9"/>
      <c r="C536" s="9" t="s">
        <v>145</v>
      </c>
      <c r="D536" s="9" t="s">
        <v>145</v>
      </c>
      <c r="E536" s="9" t="s">
        <v>145</v>
      </c>
    </row>
    <row r="537">
      <c r="A537" s="9"/>
      <c r="B537" s="9"/>
      <c r="C537" s="9" t="s">
        <v>145</v>
      </c>
      <c r="D537" s="9" t="s">
        <v>145</v>
      </c>
      <c r="E537" s="9" t="s">
        <v>145</v>
      </c>
    </row>
    <row r="538">
      <c r="A538" s="9"/>
      <c r="B538" s="9"/>
      <c r="C538" s="9" t="s">
        <v>145</v>
      </c>
      <c r="D538" s="9" t="s">
        <v>145</v>
      </c>
      <c r="E538" s="9" t="s">
        <v>145</v>
      </c>
    </row>
    <row r="539">
      <c r="A539" s="9"/>
      <c r="B539" s="9"/>
      <c r="C539" s="9" t="s">
        <v>145</v>
      </c>
      <c r="D539" s="9" t="s">
        <v>145</v>
      </c>
      <c r="E539" s="9" t="s">
        <v>145</v>
      </c>
    </row>
    <row r="540">
      <c r="A540" s="9"/>
      <c r="B540" s="9"/>
      <c r="C540" s="9" t="s">
        <v>145</v>
      </c>
      <c r="D540" s="9" t="s">
        <v>145</v>
      </c>
      <c r="E540" s="9" t="s">
        <v>145</v>
      </c>
    </row>
    <row r="541">
      <c r="A541" s="9"/>
      <c r="B541" s="9"/>
      <c r="C541" s="9" t="s">
        <v>145</v>
      </c>
      <c r="D541" s="9" t="s">
        <v>145</v>
      </c>
      <c r="E541" s="9" t="s">
        <v>145</v>
      </c>
    </row>
    <row r="542">
      <c r="A542" s="9"/>
      <c r="B542" s="9"/>
      <c r="C542" s="9" t="s">
        <v>145</v>
      </c>
      <c r="D542" s="9" t="s">
        <v>145</v>
      </c>
      <c r="E542" s="9" t="s">
        <v>145</v>
      </c>
    </row>
    <row r="543">
      <c r="A543" s="9"/>
      <c r="B543" s="9"/>
      <c r="C543" s="9" t="s">
        <v>145</v>
      </c>
      <c r="D543" s="9" t="s">
        <v>145</v>
      </c>
      <c r="E543" s="9" t="s">
        <v>145</v>
      </c>
    </row>
    <row r="544">
      <c r="A544" s="9"/>
      <c r="B544" s="9"/>
      <c r="C544" s="9" t="s">
        <v>145</v>
      </c>
      <c r="D544" s="9" t="s">
        <v>145</v>
      </c>
      <c r="E544" s="9" t="s">
        <v>145</v>
      </c>
    </row>
    <row r="545">
      <c r="A545" s="9"/>
      <c r="B545" s="9"/>
      <c r="C545" s="9" t="s">
        <v>145</v>
      </c>
      <c r="D545" s="9" t="s">
        <v>145</v>
      </c>
      <c r="E545" s="9" t="s">
        <v>145</v>
      </c>
    </row>
    <row r="546">
      <c r="A546" s="9"/>
      <c r="B546" s="9"/>
      <c r="C546" s="9" t="s">
        <v>145</v>
      </c>
      <c r="D546" s="9" t="s">
        <v>145</v>
      </c>
      <c r="E546" s="9" t="s">
        <v>145</v>
      </c>
    </row>
    <row r="547">
      <c r="A547" s="9"/>
      <c r="B547" s="9"/>
      <c r="C547" s="9" t="s">
        <v>145</v>
      </c>
      <c r="D547" s="9" t="s">
        <v>145</v>
      </c>
      <c r="E547" s="9" t="s">
        <v>145</v>
      </c>
    </row>
    <row r="548">
      <c r="A548" s="9"/>
      <c r="B548" s="9"/>
      <c r="C548" s="9" t="s">
        <v>145</v>
      </c>
      <c r="D548" s="9" t="s">
        <v>145</v>
      </c>
      <c r="E548" s="9" t="s">
        <v>145</v>
      </c>
    </row>
    <row r="549">
      <c r="A549" s="9"/>
      <c r="B549" s="9"/>
      <c r="C549" s="9" t="s">
        <v>145</v>
      </c>
      <c r="D549" s="9" t="s">
        <v>145</v>
      </c>
      <c r="E549" s="9" t="s">
        <v>145</v>
      </c>
    </row>
    <row r="550">
      <c r="A550" s="9"/>
      <c r="B550" s="9"/>
      <c r="C550" s="9" t="s">
        <v>145</v>
      </c>
      <c r="D550" s="9" t="s">
        <v>145</v>
      </c>
      <c r="E550" s="9" t="s">
        <v>145</v>
      </c>
    </row>
    <row r="551">
      <c r="A551" s="9"/>
      <c r="B551" s="9"/>
      <c r="C551" s="9" t="s">
        <v>145</v>
      </c>
      <c r="D551" s="9" t="s">
        <v>145</v>
      </c>
      <c r="E551" s="9" t="s">
        <v>145</v>
      </c>
    </row>
    <row r="552">
      <c r="A552" s="9"/>
      <c r="B552" s="9"/>
      <c r="C552" s="9" t="s">
        <v>145</v>
      </c>
      <c r="D552" s="9" t="s">
        <v>145</v>
      </c>
      <c r="E552" s="9" t="s">
        <v>145</v>
      </c>
    </row>
    <row r="553">
      <c r="A553" s="9"/>
      <c r="B553" s="9"/>
      <c r="C553" s="9" t="s">
        <v>145</v>
      </c>
      <c r="D553" s="9" t="s">
        <v>145</v>
      </c>
      <c r="E553" s="9" t="s">
        <v>145</v>
      </c>
    </row>
    <row r="554">
      <c r="A554" s="9"/>
      <c r="B554" s="9"/>
      <c r="C554" s="9" t="s">
        <v>145</v>
      </c>
      <c r="D554" s="9" t="s">
        <v>145</v>
      </c>
      <c r="E554" s="9" t="s">
        <v>145</v>
      </c>
    </row>
    <row r="555">
      <c r="A555" s="9"/>
      <c r="B555" s="9"/>
      <c r="C555" s="9" t="s">
        <v>145</v>
      </c>
      <c r="D555" s="9" t="s">
        <v>145</v>
      </c>
      <c r="E555" s="9" t="s">
        <v>145</v>
      </c>
    </row>
    <row r="556">
      <c r="A556" s="9"/>
      <c r="B556" s="9"/>
      <c r="C556" s="9" t="s">
        <v>145</v>
      </c>
      <c r="D556" s="9" t="s">
        <v>145</v>
      </c>
      <c r="E556" s="9" t="s">
        <v>145</v>
      </c>
    </row>
    <row r="557">
      <c r="A557" s="9"/>
      <c r="B557" s="9"/>
      <c r="C557" s="9" t="s">
        <v>145</v>
      </c>
      <c r="D557" s="9" t="s">
        <v>145</v>
      </c>
      <c r="E557" s="9" t="s">
        <v>145</v>
      </c>
    </row>
    <row r="558">
      <c r="A558" s="9"/>
      <c r="B558" s="9"/>
      <c r="C558" s="9" t="s">
        <v>145</v>
      </c>
      <c r="D558" s="9" t="s">
        <v>145</v>
      </c>
      <c r="E558" s="9" t="s">
        <v>145</v>
      </c>
    </row>
    <row r="559">
      <c r="A559" s="9"/>
      <c r="B559" s="9"/>
      <c r="C559" s="9" t="s">
        <v>145</v>
      </c>
      <c r="D559" s="9" t="s">
        <v>145</v>
      </c>
      <c r="E559" s="9" t="s">
        <v>145</v>
      </c>
    </row>
    <row r="560">
      <c r="A560" s="9"/>
      <c r="B560" s="9"/>
      <c r="C560" s="9" t="s">
        <v>145</v>
      </c>
      <c r="D560" s="9" t="s">
        <v>145</v>
      </c>
      <c r="E560" s="9" t="s">
        <v>145</v>
      </c>
    </row>
    <row r="561">
      <c r="A561" s="9"/>
      <c r="B561" s="9"/>
      <c r="C561" s="9" t="s">
        <v>145</v>
      </c>
      <c r="D561" s="9" t="s">
        <v>145</v>
      </c>
      <c r="E561" s="9" t="s">
        <v>145</v>
      </c>
    </row>
    <row r="562">
      <c r="A562" s="9"/>
      <c r="B562" s="9"/>
      <c r="C562" s="9" t="s">
        <v>145</v>
      </c>
      <c r="D562" s="9" t="s">
        <v>145</v>
      </c>
      <c r="E562" s="9" t="s">
        <v>145</v>
      </c>
    </row>
    <row r="563">
      <c r="A563" s="9"/>
      <c r="B563" s="9"/>
      <c r="C563" s="9" t="s">
        <v>145</v>
      </c>
      <c r="D563" s="9" t="s">
        <v>145</v>
      </c>
      <c r="E563" s="9" t="s">
        <v>145</v>
      </c>
    </row>
    <row r="564">
      <c r="A564" s="9"/>
      <c r="B564" s="9"/>
      <c r="C564" s="9" t="s">
        <v>145</v>
      </c>
      <c r="D564" s="9" t="s">
        <v>145</v>
      </c>
      <c r="E564" s="9" t="s">
        <v>145</v>
      </c>
    </row>
    <row r="565">
      <c r="A565" s="9"/>
      <c r="B565" s="9"/>
      <c r="C565" s="9" t="s">
        <v>145</v>
      </c>
      <c r="D565" s="9" t="s">
        <v>145</v>
      </c>
      <c r="E565" s="9" t="s">
        <v>145</v>
      </c>
    </row>
    <row r="566">
      <c r="A566" s="9"/>
      <c r="B566" s="9"/>
      <c r="C566" s="9" t="s">
        <v>145</v>
      </c>
      <c r="D566" s="9" t="s">
        <v>145</v>
      </c>
      <c r="E566" s="9" t="s">
        <v>145</v>
      </c>
    </row>
    <row r="567">
      <c r="A567" s="9"/>
      <c r="B567" s="9"/>
      <c r="C567" s="9" t="s">
        <v>145</v>
      </c>
      <c r="D567" s="9" t="s">
        <v>145</v>
      </c>
      <c r="E567" s="9" t="s">
        <v>145</v>
      </c>
    </row>
    <row r="568">
      <c r="A568" s="9"/>
      <c r="B568" s="9"/>
      <c r="C568" s="9" t="s">
        <v>145</v>
      </c>
      <c r="D568" s="9" t="s">
        <v>145</v>
      </c>
      <c r="E568" s="9" t="s">
        <v>145</v>
      </c>
    </row>
    <row r="569">
      <c r="A569" s="9"/>
      <c r="B569" s="9"/>
      <c r="C569" s="9" t="s">
        <v>145</v>
      </c>
      <c r="D569" s="9" t="s">
        <v>145</v>
      </c>
      <c r="E569" s="9" t="s">
        <v>145</v>
      </c>
    </row>
    <row r="570">
      <c r="A570" s="9"/>
      <c r="B570" s="9"/>
      <c r="C570" s="9" t="s">
        <v>145</v>
      </c>
      <c r="D570" s="9" t="s">
        <v>145</v>
      </c>
      <c r="E570" s="9" t="s">
        <v>145</v>
      </c>
    </row>
    <row r="571">
      <c r="A571" s="9"/>
      <c r="B571" s="9"/>
      <c r="C571" s="9" t="s">
        <v>145</v>
      </c>
      <c r="D571" s="9" t="s">
        <v>145</v>
      </c>
      <c r="E571" s="9" t="s">
        <v>145</v>
      </c>
    </row>
    <row r="572">
      <c r="A572" s="9"/>
      <c r="B572" s="9"/>
      <c r="C572" s="9" t="s">
        <v>145</v>
      </c>
      <c r="D572" s="9" t="s">
        <v>145</v>
      </c>
      <c r="E572" s="9" t="s">
        <v>145</v>
      </c>
    </row>
    <row r="573">
      <c r="A573" s="9"/>
      <c r="B573" s="9"/>
      <c r="C573" s="9" t="s">
        <v>145</v>
      </c>
      <c r="D573" s="9" t="s">
        <v>145</v>
      </c>
      <c r="E573" s="9" t="s">
        <v>145</v>
      </c>
    </row>
    <row r="574">
      <c r="A574" s="9"/>
      <c r="B574" s="9"/>
      <c r="C574" s="9" t="s">
        <v>145</v>
      </c>
      <c r="D574" s="9" t="s">
        <v>145</v>
      </c>
      <c r="E574" s="9" t="s">
        <v>145</v>
      </c>
    </row>
    <row r="575">
      <c r="A575" s="9"/>
      <c r="B575" s="9"/>
      <c r="C575" s="9" t="s">
        <v>145</v>
      </c>
      <c r="D575" s="9" t="s">
        <v>145</v>
      </c>
      <c r="E575" s="9" t="s">
        <v>145</v>
      </c>
    </row>
    <row r="576">
      <c r="A576" s="9"/>
      <c r="B576" s="9"/>
      <c r="C576" s="9" t="s">
        <v>145</v>
      </c>
      <c r="D576" s="9" t="s">
        <v>145</v>
      </c>
      <c r="E576" s="9" t="s">
        <v>145</v>
      </c>
    </row>
    <row r="577">
      <c r="A577" s="9"/>
      <c r="B577" s="9"/>
      <c r="C577" s="9" t="s">
        <v>145</v>
      </c>
      <c r="D577" s="9" t="s">
        <v>145</v>
      </c>
      <c r="E577" s="9" t="s">
        <v>145</v>
      </c>
    </row>
    <row r="578">
      <c r="A578" s="9"/>
      <c r="B578" s="9"/>
      <c r="C578" s="9" t="s">
        <v>145</v>
      </c>
      <c r="D578" s="9" t="s">
        <v>145</v>
      </c>
      <c r="E578" s="9" t="s">
        <v>145</v>
      </c>
    </row>
    <row r="579">
      <c r="A579" s="9"/>
      <c r="B579" s="9"/>
      <c r="C579" s="9" t="s">
        <v>145</v>
      </c>
      <c r="D579" s="9" t="s">
        <v>145</v>
      </c>
      <c r="E579" s="9" t="s">
        <v>145</v>
      </c>
    </row>
    <row r="580">
      <c r="A580" s="9"/>
      <c r="B580" s="9"/>
      <c r="C580" s="9" t="s">
        <v>145</v>
      </c>
      <c r="D580" s="9" t="s">
        <v>145</v>
      </c>
      <c r="E580" s="9" t="s">
        <v>145</v>
      </c>
    </row>
    <row r="581">
      <c r="A581" s="9"/>
      <c r="B581" s="9"/>
      <c r="C581" s="9" t="s">
        <v>145</v>
      </c>
      <c r="D581" s="9" t="s">
        <v>145</v>
      </c>
      <c r="E581" s="9" t="s">
        <v>145</v>
      </c>
    </row>
    <row r="582">
      <c r="A582" s="9"/>
      <c r="B582" s="9"/>
      <c r="C582" s="9" t="s">
        <v>145</v>
      </c>
      <c r="D582" s="9" t="s">
        <v>145</v>
      </c>
      <c r="E582" s="9" t="s">
        <v>145</v>
      </c>
    </row>
    <row r="583">
      <c r="A583" s="9"/>
      <c r="B583" s="9"/>
      <c r="C583" s="9" t="s">
        <v>145</v>
      </c>
      <c r="D583" s="9" t="s">
        <v>145</v>
      </c>
      <c r="E583" s="9" t="s">
        <v>145</v>
      </c>
    </row>
    <row r="584">
      <c r="A584" s="9"/>
      <c r="B584" s="9"/>
      <c r="C584" s="9" t="s">
        <v>145</v>
      </c>
      <c r="D584" s="9" t="s">
        <v>145</v>
      </c>
      <c r="E584" s="9" t="s">
        <v>145</v>
      </c>
    </row>
    <row r="585">
      <c r="A585" s="9"/>
      <c r="B585" s="9"/>
      <c r="C585" s="9" t="s">
        <v>145</v>
      </c>
      <c r="D585" s="9" t="s">
        <v>145</v>
      </c>
      <c r="E585" s="9" t="s">
        <v>145</v>
      </c>
    </row>
    <row r="586">
      <c r="A586" s="9"/>
      <c r="B586" s="9"/>
      <c r="C586" s="9" t="s">
        <v>145</v>
      </c>
      <c r="D586" s="9" t="s">
        <v>145</v>
      </c>
      <c r="E586" s="9" t="s">
        <v>145</v>
      </c>
    </row>
    <row r="587">
      <c r="A587" s="9"/>
      <c r="B587" s="9"/>
      <c r="C587" s="9" t="s">
        <v>145</v>
      </c>
      <c r="D587" s="9" t="s">
        <v>145</v>
      </c>
      <c r="E587" s="9" t="s">
        <v>145</v>
      </c>
    </row>
    <row r="588">
      <c r="A588" s="9"/>
      <c r="B588" s="9"/>
      <c r="C588" s="9" t="s">
        <v>145</v>
      </c>
      <c r="D588" s="9" t="s">
        <v>145</v>
      </c>
      <c r="E588" s="9" t="s">
        <v>145</v>
      </c>
    </row>
    <row r="589">
      <c r="A589" s="9"/>
      <c r="B589" s="9"/>
      <c r="C589" s="9" t="s">
        <v>145</v>
      </c>
      <c r="D589" s="9" t="s">
        <v>145</v>
      </c>
      <c r="E589" s="9" t="s">
        <v>145</v>
      </c>
    </row>
    <row r="590">
      <c r="A590" s="9"/>
      <c r="B590" s="9"/>
      <c r="C590" s="9" t="s">
        <v>145</v>
      </c>
      <c r="D590" s="9" t="s">
        <v>145</v>
      </c>
      <c r="E590" s="9" t="s">
        <v>145</v>
      </c>
    </row>
    <row r="591">
      <c r="A591" s="9"/>
      <c r="B591" s="9"/>
      <c r="C591" s="9" t="s">
        <v>145</v>
      </c>
      <c r="D591" s="9" t="s">
        <v>145</v>
      </c>
      <c r="E591" s="9" t="s">
        <v>145</v>
      </c>
    </row>
    <row r="592">
      <c r="A592" s="9"/>
      <c r="B592" s="9"/>
      <c r="C592" s="9" t="s">
        <v>145</v>
      </c>
      <c r="D592" s="9" t="s">
        <v>145</v>
      </c>
      <c r="E592" s="9" t="s">
        <v>145</v>
      </c>
    </row>
    <row r="593">
      <c r="A593" s="9"/>
      <c r="B593" s="9"/>
      <c r="C593" s="9" t="s">
        <v>145</v>
      </c>
      <c r="D593" s="9" t="s">
        <v>145</v>
      </c>
      <c r="E593" s="9" t="s">
        <v>145</v>
      </c>
    </row>
    <row r="594">
      <c r="A594" s="9"/>
      <c r="B594" s="9"/>
      <c r="C594" s="9" t="s">
        <v>145</v>
      </c>
      <c r="D594" s="9" t="s">
        <v>145</v>
      </c>
      <c r="E594" s="9" t="s">
        <v>145</v>
      </c>
    </row>
    <row r="595">
      <c r="A595" s="9"/>
      <c r="B595" s="9"/>
      <c r="C595" s="9" t="s">
        <v>145</v>
      </c>
      <c r="D595" s="9" t="s">
        <v>145</v>
      </c>
      <c r="E595" s="9" t="s">
        <v>145</v>
      </c>
    </row>
    <row r="596">
      <c r="A596" s="9"/>
      <c r="B596" s="9"/>
      <c r="C596" s="9" t="s">
        <v>145</v>
      </c>
      <c r="D596" s="9" t="s">
        <v>145</v>
      </c>
      <c r="E596" s="9" t="s">
        <v>145</v>
      </c>
    </row>
    <row r="597">
      <c r="A597" s="9"/>
      <c r="B597" s="9"/>
      <c r="C597" s="9" t="s">
        <v>145</v>
      </c>
      <c r="D597" s="9" t="s">
        <v>145</v>
      </c>
      <c r="E597" s="9" t="s">
        <v>145</v>
      </c>
    </row>
    <row r="598">
      <c r="A598" s="9"/>
      <c r="B598" s="9"/>
      <c r="C598" s="9" t="s">
        <v>145</v>
      </c>
      <c r="D598" s="9" t="s">
        <v>145</v>
      </c>
      <c r="E598" s="9" t="s">
        <v>145</v>
      </c>
    </row>
    <row r="599">
      <c r="A599" s="9"/>
      <c r="B599" s="9"/>
      <c r="C599" s="9" t="s">
        <v>145</v>
      </c>
      <c r="D599" s="9" t="s">
        <v>145</v>
      </c>
      <c r="E599" s="9" t="s">
        <v>145</v>
      </c>
    </row>
    <row r="600">
      <c r="A600" s="9"/>
      <c r="B600" s="9"/>
      <c r="C600" s="9" t="s">
        <v>145</v>
      </c>
      <c r="D600" s="9" t="s">
        <v>145</v>
      </c>
      <c r="E600" s="9" t="s">
        <v>145</v>
      </c>
    </row>
    <row r="601">
      <c r="A601" s="9"/>
      <c r="B601" s="9"/>
      <c r="C601" s="9" t="s">
        <v>145</v>
      </c>
      <c r="D601" s="9" t="s">
        <v>145</v>
      </c>
      <c r="E601" s="9" t="s">
        <v>145</v>
      </c>
    </row>
    <row r="602">
      <c r="A602" s="9"/>
      <c r="B602" s="9"/>
      <c r="C602" s="9" t="s">
        <v>145</v>
      </c>
      <c r="D602" s="9" t="s">
        <v>145</v>
      </c>
      <c r="E602" s="9" t="s">
        <v>145</v>
      </c>
    </row>
    <row r="603">
      <c r="A603" s="9"/>
      <c r="B603" s="9"/>
      <c r="C603" s="9" t="s">
        <v>145</v>
      </c>
      <c r="D603" s="9" t="s">
        <v>145</v>
      </c>
      <c r="E603" s="9" t="s">
        <v>145</v>
      </c>
    </row>
    <row r="604">
      <c r="A604" s="9"/>
      <c r="B604" s="9"/>
      <c r="C604" s="9" t="s">
        <v>145</v>
      </c>
      <c r="D604" s="9" t="s">
        <v>145</v>
      </c>
      <c r="E604" s="9" t="s">
        <v>145</v>
      </c>
    </row>
    <row r="605">
      <c r="A605" s="9"/>
      <c r="B605" s="9"/>
      <c r="C605" s="9" t="s">
        <v>145</v>
      </c>
      <c r="D605" s="9" t="s">
        <v>145</v>
      </c>
      <c r="E605" s="9" t="s">
        <v>145</v>
      </c>
    </row>
    <row r="606">
      <c r="A606" s="9"/>
      <c r="B606" s="9"/>
      <c r="C606" s="9" t="s">
        <v>145</v>
      </c>
      <c r="D606" s="9" t="s">
        <v>145</v>
      </c>
      <c r="E606" s="9" t="s">
        <v>145</v>
      </c>
    </row>
    <row r="607">
      <c r="A607" s="9"/>
      <c r="B607" s="9"/>
      <c r="C607" s="9" t="s">
        <v>145</v>
      </c>
      <c r="D607" s="9" t="s">
        <v>145</v>
      </c>
      <c r="E607" s="9" t="s">
        <v>145</v>
      </c>
    </row>
    <row r="608">
      <c r="A608" s="9"/>
      <c r="B608" s="9"/>
      <c r="C608" s="9" t="s">
        <v>145</v>
      </c>
      <c r="D608" s="9" t="s">
        <v>145</v>
      </c>
      <c r="E608" s="9" t="s">
        <v>145</v>
      </c>
    </row>
    <row r="609">
      <c r="A609" s="9"/>
      <c r="B609" s="9"/>
      <c r="C609" s="9" t="s">
        <v>145</v>
      </c>
      <c r="D609" s="9" t="s">
        <v>145</v>
      </c>
      <c r="E609" s="9" t="s">
        <v>145</v>
      </c>
    </row>
    <row r="610">
      <c r="A610" s="9"/>
      <c r="B610" s="9"/>
      <c r="C610" s="9" t="s">
        <v>145</v>
      </c>
      <c r="D610" s="9" t="s">
        <v>145</v>
      </c>
      <c r="E610" s="9" t="s">
        <v>145</v>
      </c>
    </row>
    <row r="611">
      <c r="A611" s="9"/>
      <c r="B611" s="9"/>
      <c r="C611" s="9" t="s">
        <v>145</v>
      </c>
      <c r="D611" s="9" t="s">
        <v>145</v>
      </c>
      <c r="E611" s="9" t="s">
        <v>145</v>
      </c>
    </row>
    <row r="612">
      <c r="A612" s="9"/>
      <c r="B612" s="9"/>
      <c r="C612" s="9" t="s">
        <v>145</v>
      </c>
      <c r="D612" s="9" t="s">
        <v>145</v>
      </c>
      <c r="E612" s="9" t="s">
        <v>145</v>
      </c>
    </row>
    <row r="613">
      <c r="A613" s="9"/>
      <c r="B613" s="9"/>
      <c r="C613" s="9" t="s">
        <v>145</v>
      </c>
      <c r="D613" s="9" t="s">
        <v>145</v>
      </c>
      <c r="E613" s="9" t="s">
        <v>145</v>
      </c>
    </row>
    <row r="614">
      <c r="A614" s="9"/>
      <c r="B614" s="9"/>
      <c r="C614" s="9" t="s">
        <v>145</v>
      </c>
      <c r="D614" s="9" t="s">
        <v>145</v>
      </c>
      <c r="E614" s="9" t="s">
        <v>145</v>
      </c>
    </row>
    <row r="615">
      <c r="A615" s="9"/>
      <c r="B615" s="9"/>
      <c r="C615" s="9" t="s">
        <v>145</v>
      </c>
      <c r="D615" s="9" t="s">
        <v>145</v>
      </c>
      <c r="E615" s="9" t="s">
        <v>145</v>
      </c>
    </row>
    <row r="616">
      <c r="A616" s="9"/>
      <c r="B616" s="9"/>
      <c r="C616" s="9" t="s">
        <v>145</v>
      </c>
      <c r="D616" s="9" t="s">
        <v>145</v>
      </c>
      <c r="E616" s="9" t="s">
        <v>145</v>
      </c>
    </row>
    <row r="617">
      <c r="A617" s="9"/>
      <c r="B617" s="9"/>
      <c r="C617" s="9" t="s">
        <v>145</v>
      </c>
      <c r="D617" s="9" t="s">
        <v>145</v>
      </c>
      <c r="E617" s="9" t="s">
        <v>145</v>
      </c>
    </row>
    <row r="618">
      <c r="A618" s="9"/>
      <c r="B618" s="9"/>
      <c r="C618" s="9" t="s">
        <v>145</v>
      </c>
      <c r="D618" s="9" t="s">
        <v>145</v>
      </c>
      <c r="E618" s="9" t="s">
        <v>145</v>
      </c>
    </row>
    <row r="619">
      <c r="A619" s="9"/>
      <c r="B619" s="9"/>
      <c r="C619" s="9" t="s">
        <v>145</v>
      </c>
      <c r="D619" s="9" t="s">
        <v>145</v>
      </c>
      <c r="E619" s="9" t="s">
        <v>145</v>
      </c>
    </row>
    <row r="620">
      <c r="A620" s="9"/>
      <c r="B620" s="9"/>
      <c r="C620" s="9" t="s">
        <v>145</v>
      </c>
      <c r="D620" s="9" t="s">
        <v>145</v>
      </c>
      <c r="E620" s="9" t="s">
        <v>145</v>
      </c>
    </row>
    <row r="621">
      <c r="A621" s="9"/>
      <c r="B621" s="9"/>
      <c r="C621" s="9" t="s">
        <v>145</v>
      </c>
      <c r="D621" s="9" t="s">
        <v>145</v>
      </c>
      <c r="E621" s="9" t="s">
        <v>145</v>
      </c>
    </row>
    <row r="622">
      <c r="A622" s="9"/>
      <c r="B622" s="9"/>
      <c r="C622" s="9" t="s">
        <v>145</v>
      </c>
      <c r="D622" s="9" t="s">
        <v>145</v>
      </c>
      <c r="E622" s="9" t="s">
        <v>145</v>
      </c>
    </row>
    <row r="623">
      <c r="A623" s="9"/>
      <c r="B623" s="9"/>
      <c r="C623" s="9" t="s">
        <v>145</v>
      </c>
      <c r="D623" s="9" t="s">
        <v>145</v>
      </c>
      <c r="E623" s="9" t="s">
        <v>145</v>
      </c>
    </row>
    <row r="624">
      <c r="A624" s="9"/>
      <c r="B624" s="9"/>
      <c r="C624" s="9" t="s">
        <v>145</v>
      </c>
      <c r="D624" s="9" t="s">
        <v>145</v>
      </c>
      <c r="E624" s="9" t="s">
        <v>145</v>
      </c>
    </row>
    <row r="625">
      <c r="A625" s="9"/>
      <c r="B625" s="9"/>
      <c r="C625" s="9" t="s">
        <v>145</v>
      </c>
      <c r="D625" s="9" t="s">
        <v>145</v>
      </c>
      <c r="E625" s="9" t="s">
        <v>145</v>
      </c>
    </row>
    <row r="626">
      <c r="A626" s="9"/>
      <c r="B626" s="9"/>
      <c r="C626" s="9" t="s">
        <v>145</v>
      </c>
      <c r="D626" s="9" t="s">
        <v>145</v>
      </c>
      <c r="E626" s="9" t="s">
        <v>145</v>
      </c>
    </row>
    <row r="627">
      <c r="A627" s="9"/>
      <c r="B627" s="9"/>
      <c r="C627" s="9" t="s">
        <v>145</v>
      </c>
      <c r="D627" s="9" t="s">
        <v>145</v>
      </c>
      <c r="E627" s="9" t="s">
        <v>145</v>
      </c>
    </row>
    <row r="628">
      <c r="A628" s="9"/>
      <c r="B628" s="9"/>
      <c r="C628" s="9" t="s">
        <v>145</v>
      </c>
      <c r="D628" s="9" t="s">
        <v>145</v>
      </c>
      <c r="E628" s="9" t="s">
        <v>145</v>
      </c>
    </row>
    <row r="629">
      <c r="A629" s="9"/>
      <c r="B629" s="9"/>
      <c r="C629" s="9" t="s">
        <v>145</v>
      </c>
      <c r="D629" s="9" t="s">
        <v>145</v>
      </c>
      <c r="E629" s="9" t="s">
        <v>145</v>
      </c>
    </row>
    <row r="630">
      <c r="A630" s="9"/>
      <c r="B630" s="9"/>
      <c r="C630" s="9" t="s">
        <v>145</v>
      </c>
      <c r="D630" s="9" t="s">
        <v>145</v>
      </c>
      <c r="E630" s="9" t="s">
        <v>145</v>
      </c>
    </row>
    <row r="631">
      <c r="A631" s="9"/>
      <c r="B631" s="9"/>
      <c r="C631" s="9" t="s">
        <v>145</v>
      </c>
      <c r="D631" s="9" t="s">
        <v>145</v>
      </c>
      <c r="E631" s="9" t="s">
        <v>145</v>
      </c>
    </row>
    <row r="632">
      <c r="A632" s="9"/>
      <c r="B632" s="9"/>
      <c r="C632" s="9" t="s">
        <v>145</v>
      </c>
      <c r="D632" s="9" t="s">
        <v>145</v>
      </c>
      <c r="E632" s="9" t="s">
        <v>145</v>
      </c>
    </row>
    <row r="633">
      <c r="A633" s="9"/>
      <c r="B633" s="9"/>
      <c r="C633" s="9" t="s">
        <v>145</v>
      </c>
      <c r="D633" s="9" t="s">
        <v>145</v>
      </c>
      <c r="E633" s="9" t="s">
        <v>145</v>
      </c>
    </row>
    <row r="634">
      <c r="A634" s="9"/>
      <c r="B634" s="9"/>
      <c r="C634" s="9" t="s">
        <v>145</v>
      </c>
      <c r="D634" s="9" t="s">
        <v>145</v>
      </c>
      <c r="E634" s="9" t="s">
        <v>145</v>
      </c>
    </row>
    <row r="635">
      <c r="A635" s="9"/>
      <c r="B635" s="9"/>
      <c r="C635" s="9" t="s">
        <v>145</v>
      </c>
      <c r="D635" s="9" t="s">
        <v>145</v>
      </c>
      <c r="E635" s="9" t="s">
        <v>145</v>
      </c>
    </row>
    <row r="636">
      <c r="A636" s="9"/>
      <c r="B636" s="9"/>
      <c r="C636" s="9" t="s">
        <v>145</v>
      </c>
      <c r="D636" s="9" t="s">
        <v>145</v>
      </c>
      <c r="E636" s="9" t="s">
        <v>145</v>
      </c>
    </row>
    <row r="637">
      <c r="A637" s="9"/>
      <c r="B637" s="9"/>
      <c r="C637" s="9" t="s">
        <v>145</v>
      </c>
      <c r="D637" s="9" t="s">
        <v>145</v>
      </c>
      <c r="E637" s="9" t="s">
        <v>145</v>
      </c>
    </row>
    <row r="638">
      <c r="A638" s="9"/>
      <c r="B638" s="9"/>
      <c r="C638" s="9" t="s">
        <v>145</v>
      </c>
      <c r="D638" s="9" t="s">
        <v>145</v>
      </c>
      <c r="E638" s="9" t="s">
        <v>145</v>
      </c>
    </row>
    <row r="639">
      <c r="A639" s="9"/>
      <c r="B639" s="9"/>
      <c r="C639" s="9" t="s">
        <v>145</v>
      </c>
      <c r="D639" s="9" t="s">
        <v>145</v>
      </c>
      <c r="E639" s="9" t="s">
        <v>145</v>
      </c>
    </row>
    <row r="640">
      <c r="A640" s="9"/>
      <c r="B640" s="9"/>
      <c r="C640" s="9" t="s">
        <v>145</v>
      </c>
      <c r="D640" s="9" t="s">
        <v>145</v>
      </c>
      <c r="E640" s="9" t="s">
        <v>145</v>
      </c>
    </row>
    <row r="641">
      <c r="A641" s="9"/>
      <c r="B641" s="9"/>
      <c r="C641" s="9" t="s">
        <v>145</v>
      </c>
      <c r="D641" s="9" t="s">
        <v>145</v>
      </c>
      <c r="E641" s="9" t="s">
        <v>145</v>
      </c>
    </row>
    <row r="642">
      <c r="A642" s="9"/>
      <c r="B642" s="9"/>
      <c r="C642" s="9" t="s">
        <v>145</v>
      </c>
      <c r="D642" s="9" t="s">
        <v>145</v>
      </c>
      <c r="E642" s="9" t="s">
        <v>145</v>
      </c>
    </row>
    <row r="643">
      <c r="A643" s="9"/>
      <c r="B643" s="9"/>
      <c r="C643" s="9" t="s">
        <v>145</v>
      </c>
      <c r="D643" s="9" t="s">
        <v>145</v>
      </c>
      <c r="E643" s="9" t="s">
        <v>145</v>
      </c>
    </row>
    <row r="644">
      <c r="A644" s="9"/>
      <c r="B644" s="9"/>
      <c r="C644" s="9" t="s">
        <v>145</v>
      </c>
      <c r="D644" s="9" t="s">
        <v>145</v>
      </c>
      <c r="E644" s="9" t="s">
        <v>145</v>
      </c>
    </row>
    <row r="645">
      <c r="A645" s="9"/>
      <c r="B645" s="9"/>
      <c r="C645" s="9" t="s">
        <v>145</v>
      </c>
      <c r="D645" s="9" t="s">
        <v>145</v>
      </c>
      <c r="E645" s="9" t="s">
        <v>145</v>
      </c>
    </row>
    <row r="646">
      <c r="A646" s="9"/>
      <c r="B646" s="9"/>
      <c r="C646" s="9" t="s">
        <v>145</v>
      </c>
      <c r="D646" s="9" t="s">
        <v>145</v>
      </c>
      <c r="E646" s="9" t="s">
        <v>145</v>
      </c>
    </row>
    <row r="647">
      <c r="A647" s="9"/>
      <c r="B647" s="9"/>
      <c r="C647" s="9" t="s">
        <v>145</v>
      </c>
      <c r="D647" s="9" t="s">
        <v>145</v>
      </c>
      <c r="E647" s="9" t="s">
        <v>145</v>
      </c>
    </row>
    <row r="648">
      <c r="A648" s="9"/>
      <c r="B648" s="9"/>
      <c r="C648" s="9" t="s">
        <v>145</v>
      </c>
      <c r="D648" s="9" t="s">
        <v>145</v>
      </c>
      <c r="E648" s="9" t="s">
        <v>145</v>
      </c>
    </row>
    <row r="649">
      <c r="A649" s="9"/>
      <c r="B649" s="9"/>
      <c r="C649" s="9" t="s">
        <v>145</v>
      </c>
      <c r="D649" s="9" t="s">
        <v>145</v>
      </c>
      <c r="E649" s="9" t="s">
        <v>145</v>
      </c>
    </row>
    <row r="650">
      <c r="A650" s="9"/>
      <c r="B650" s="9"/>
      <c r="C650" s="9" t="s">
        <v>145</v>
      </c>
      <c r="D650" s="9" t="s">
        <v>145</v>
      </c>
      <c r="E650" s="9" t="s">
        <v>145</v>
      </c>
    </row>
    <row r="651">
      <c r="A651" s="9"/>
      <c r="B651" s="9"/>
      <c r="C651" s="9" t="s">
        <v>145</v>
      </c>
      <c r="D651" s="9" t="s">
        <v>145</v>
      </c>
      <c r="E651" s="9" t="s">
        <v>145</v>
      </c>
    </row>
    <row r="652">
      <c r="A652" s="9"/>
      <c r="B652" s="9"/>
      <c r="C652" s="9" t="s">
        <v>145</v>
      </c>
      <c r="D652" s="9" t="s">
        <v>145</v>
      </c>
      <c r="E652" s="9" t="s">
        <v>145</v>
      </c>
    </row>
    <row r="653">
      <c r="A653" s="9"/>
      <c r="B653" s="9"/>
      <c r="C653" s="9" t="s">
        <v>145</v>
      </c>
      <c r="D653" s="9" t="s">
        <v>145</v>
      </c>
      <c r="E653" s="9" t="s">
        <v>145</v>
      </c>
    </row>
    <row r="654">
      <c r="A654" s="9"/>
      <c r="B654" s="9"/>
      <c r="C654" s="9" t="s">
        <v>145</v>
      </c>
      <c r="D654" s="9" t="s">
        <v>145</v>
      </c>
      <c r="E654" s="9" t="s">
        <v>145</v>
      </c>
    </row>
    <row r="655">
      <c r="A655" s="9"/>
      <c r="B655" s="9"/>
      <c r="C655" s="9" t="s">
        <v>145</v>
      </c>
      <c r="D655" s="9" t="s">
        <v>145</v>
      </c>
      <c r="E655" s="9" t="s">
        <v>145</v>
      </c>
    </row>
    <row r="656">
      <c r="A656" s="9"/>
      <c r="B656" s="9"/>
      <c r="C656" s="9" t="s">
        <v>145</v>
      </c>
      <c r="D656" s="9" t="s">
        <v>145</v>
      </c>
      <c r="E656" s="9" t="s">
        <v>145</v>
      </c>
    </row>
    <row r="657">
      <c r="A657" s="9"/>
      <c r="B657" s="9"/>
      <c r="C657" s="9" t="s">
        <v>145</v>
      </c>
      <c r="D657" s="9" t="s">
        <v>145</v>
      </c>
      <c r="E657" s="9" t="s">
        <v>145</v>
      </c>
    </row>
    <row r="658">
      <c r="A658" s="9"/>
      <c r="B658" s="9"/>
      <c r="C658" s="9" t="s">
        <v>145</v>
      </c>
      <c r="D658" s="9" t="s">
        <v>145</v>
      </c>
      <c r="E658" s="9" t="s">
        <v>145</v>
      </c>
    </row>
    <row r="659">
      <c r="A659" s="9"/>
      <c r="B659" s="9"/>
      <c r="C659" s="9" t="s">
        <v>145</v>
      </c>
      <c r="D659" s="9" t="s">
        <v>145</v>
      </c>
      <c r="E659" s="9" t="s">
        <v>145</v>
      </c>
    </row>
    <row r="660">
      <c r="A660" s="9"/>
      <c r="B660" s="9"/>
      <c r="C660" s="9" t="s">
        <v>145</v>
      </c>
      <c r="D660" s="9" t="s">
        <v>145</v>
      </c>
      <c r="E660" s="9" t="s">
        <v>145</v>
      </c>
    </row>
    <row r="661">
      <c r="A661" s="9"/>
      <c r="B661" s="9"/>
      <c r="C661" s="9" t="s">
        <v>145</v>
      </c>
      <c r="D661" s="9" t="s">
        <v>145</v>
      </c>
      <c r="E661" s="9" t="s">
        <v>145</v>
      </c>
    </row>
    <row r="662">
      <c r="A662" s="9"/>
      <c r="B662" s="9"/>
      <c r="C662" s="9" t="s">
        <v>145</v>
      </c>
      <c r="D662" s="9" t="s">
        <v>145</v>
      </c>
      <c r="E662" s="9" t="s">
        <v>145</v>
      </c>
    </row>
    <row r="663">
      <c r="A663" s="9"/>
      <c r="B663" s="9"/>
      <c r="C663" s="9" t="s">
        <v>145</v>
      </c>
      <c r="D663" s="9" t="s">
        <v>145</v>
      </c>
      <c r="E663" s="9" t="s">
        <v>145</v>
      </c>
    </row>
    <row r="664">
      <c r="A664" s="9"/>
      <c r="B664" s="9"/>
      <c r="C664" s="9" t="s">
        <v>145</v>
      </c>
      <c r="D664" s="9" t="s">
        <v>145</v>
      </c>
      <c r="E664" s="9" t="s">
        <v>145</v>
      </c>
    </row>
    <row r="665">
      <c r="A665" s="9"/>
      <c r="B665" s="9"/>
      <c r="C665" s="9" t="s">
        <v>145</v>
      </c>
      <c r="D665" s="9" t="s">
        <v>145</v>
      </c>
      <c r="E665" s="9" t="s">
        <v>145</v>
      </c>
    </row>
    <row r="666">
      <c r="A666" s="9"/>
      <c r="B666" s="9"/>
      <c r="C666" s="9" t="s">
        <v>145</v>
      </c>
      <c r="D666" s="9" t="s">
        <v>145</v>
      </c>
      <c r="E666" s="9" t="s">
        <v>145</v>
      </c>
    </row>
    <row r="667">
      <c r="A667" s="9"/>
      <c r="B667" s="9"/>
      <c r="C667" s="9" t="s">
        <v>145</v>
      </c>
      <c r="D667" s="9" t="s">
        <v>145</v>
      </c>
      <c r="E667" s="9" t="s">
        <v>145</v>
      </c>
    </row>
    <row r="668">
      <c r="A668" s="9"/>
      <c r="B668" s="9"/>
      <c r="C668" s="9" t="s">
        <v>145</v>
      </c>
      <c r="D668" s="9" t="s">
        <v>145</v>
      </c>
      <c r="E668" s="9" t="s">
        <v>145</v>
      </c>
    </row>
    <row r="669">
      <c r="A669" s="9"/>
      <c r="B669" s="9"/>
      <c r="C669" s="9" t="s">
        <v>145</v>
      </c>
      <c r="D669" s="9" t="s">
        <v>145</v>
      </c>
      <c r="E669" s="9" t="s">
        <v>145</v>
      </c>
    </row>
    <row r="670">
      <c r="A670" s="9"/>
      <c r="B670" s="9"/>
      <c r="C670" s="9" t="s">
        <v>145</v>
      </c>
      <c r="D670" s="9" t="s">
        <v>145</v>
      </c>
      <c r="E670" s="9" t="s">
        <v>145</v>
      </c>
    </row>
    <row r="671">
      <c r="A671" s="9"/>
      <c r="B671" s="9"/>
      <c r="C671" s="9" t="s">
        <v>145</v>
      </c>
      <c r="D671" s="9" t="s">
        <v>145</v>
      </c>
      <c r="E671" s="9" t="s">
        <v>145</v>
      </c>
    </row>
    <row r="672">
      <c r="A672" s="9"/>
      <c r="B672" s="9"/>
      <c r="C672" s="9" t="s">
        <v>145</v>
      </c>
      <c r="D672" s="9" t="s">
        <v>145</v>
      </c>
      <c r="E672" s="9" t="s">
        <v>145</v>
      </c>
    </row>
    <row r="673">
      <c r="A673" s="9"/>
      <c r="B673" s="9"/>
      <c r="C673" s="9" t="s">
        <v>145</v>
      </c>
      <c r="D673" s="9" t="s">
        <v>145</v>
      </c>
      <c r="E673" s="9" t="s">
        <v>145</v>
      </c>
    </row>
    <row r="674">
      <c r="A674" s="9"/>
      <c r="B674" s="9"/>
      <c r="C674" s="9" t="s">
        <v>145</v>
      </c>
      <c r="D674" s="9" t="s">
        <v>145</v>
      </c>
      <c r="E674" s="9" t="s">
        <v>145</v>
      </c>
    </row>
    <row r="675">
      <c r="A675" s="9"/>
      <c r="B675" s="9"/>
      <c r="C675" s="9" t="s">
        <v>145</v>
      </c>
      <c r="D675" s="9" t="s">
        <v>145</v>
      </c>
      <c r="E675" s="9" t="s">
        <v>145</v>
      </c>
    </row>
    <row r="676">
      <c r="A676" s="9"/>
      <c r="B676" s="9"/>
      <c r="C676" s="9" t="s">
        <v>145</v>
      </c>
      <c r="D676" s="9" t="s">
        <v>145</v>
      </c>
      <c r="E676" s="9" t="s">
        <v>145</v>
      </c>
    </row>
    <row r="677">
      <c r="A677" s="9"/>
      <c r="B677" s="9"/>
      <c r="C677" s="9" t="s">
        <v>145</v>
      </c>
      <c r="D677" s="9" t="s">
        <v>145</v>
      </c>
      <c r="E677" s="9" t="s">
        <v>145</v>
      </c>
    </row>
    <row r="678">
      <c r="A678" s="9"/>
      <c r="B678" s="9"/>
      <c r="C678" s="9" t="s">
        <v>145</v>
      </c>
      <c r="D678" s="9" t="s">
        <v>145</v>
      </c>
      <c r="E678" s="9" t="s">
        <v>145</v>
      </c>
    </row>
    <row r="679">
      <c r="A679" s="9"/>
      <c r="B679" s="9"/>
      <c r="C679" s="9" t="s">
        <v>145</v>
      </c>
      <c r="D679" s="9" t="s">
        <v>145</v>
      </c>
      <c r="E679" s="9" t="s">
        <v>145</v>
      </c>
    </row>
    <row r="680">
      <c r="A680" s="9"/>
      <c r="B680" s="9"/>
      <c r="C680" s="9" t="s">
        <v>145</v>
      </c>
      <c r="D680" s="9" t="s">
        <v>145</v>
      </c>
      <c r="E680" s="9" t="s">
        <v>145</v>
      </c>
    </row>
    <row r="681">
      <c r="A681" s="9"/>
      <c r="B681" s="9"/>
      <c r="C681" s="9" t="s">
        <v>145</v>
      </c>
      <c r="D681" s="9" t="s">
        <v>145</v>
      </c>
      <c r="E681" s="9" t="s">
        <v>145</v>
      </c>
    </row>
    <row r="682">
      <c r="A682" s="9"/>
      <c r="B682" s="9"/>
      <c r="C682" s="9" t="s">
        <v>145</v>
      </c>
      <c r="D682" s="9" t="s">
        <v>145</v>
      </c>
      <c r="E682" s="9" t="s">
        <v>145</v>
      </c>
    </row>
    <row r="683">
      <c r="A683" s="9"/>
      <c r="B683" s="9"/>
      <c r="C683" s="9" t="s">
        <v>145</v>
      </c>
      <c r="D683" s="9" t="s">
        <v>145</v>
      </c>
      <c r="E683" s="9" t="s">
        <v>145</v>
      </c>
    </row>
    <row r="684">
      <c r="A684" s="9"/>
      <c r="B684" s="9"/>
      <c r="C684" s="9" t="s">
        <v>145</v>
      </c>
      <c r="D684" s="9" t="s">
        <v>145</v>
      </c>
      <c r="E684" s="9" t="s">
        <v>145</v>
      </c>
    </row>
    <row r="685">
      <c r="A685" s="9"/>
      <c r="B685" s="9"/>
      <c r="C685" s="9" t="s">
        <v>145</v>
      </c>
      <c r="D685" s="9" t="s">
        <v>145</v>
      </c>
      <c r="E685" s="9" t="s">
        <v>145</v>
      </c>
    </row>
    <row r="686">
      <c r="A686" s="9"/>
      <c r="B686" s="9"/>
      <c r="C686" s="9" t="s">
        <v>145</v>
      </c>
      <c r="D686" s="9" t="s">
        <v>145</v>
      </c>
      <c r="E686" s="9" t="s">
        <v>145</v>
      </c>
    </row>
    <row r="687">
      <c r="A687" s="9"/>
      <c r="B687" s="9"/>
      <c r="C687" s="9" t="s">
        <v>145</v>
      </c>
      <c r="D687" s="9" t="s">
        <v>145</v>
      </c>
      <c r="E687" s="9" t="s">
        <v>145</v>
      </c>
    </row>
    <row r="688">
      <c r="A688" s="9"/>
      <c r="B688" s="9"/>
      <c r="C688" s="9" t="s">
        <v>145</v>
      </c>
      <c r="D688" s="9" t="s">
        <v>145</v>
      </c>
      <c r="E688" s="9" t="s">
        <v>145</v>
      </c>
    </row>
    <row r="689">
      <c r="A689" s="9"/>
      <c r="B689" s="9"/>
      <c r="C689" s="9" t="s">
        <v>145</v>
      </c>
      <c r="D689" s="9" t="s">
        <v>145</v>
      </c>
      <c r="E689" s="9" t="s">
        <v>145</v>
      </c>
    </row>
    <row r="690">
      <c r="A690" s="9"/>
      <c r="B690" s="9"/>
      <c r="C690" s="9" t="s">
        <v>145</v>
      </c>
      <c r="D690" s="9" t="s">
        <v>145</v>
      </c>
      <c r="E690" s="9" t="s">
        <v>145</v>
      </c>
    </row>
    <row r="691">
      <c r="A691" s="9"/>
      <c r="B691" s="9"/>
      <c r="C691" s="9" t="s">
        <v>145</v>
      </c>
      <c r="D691" s="9" t="s">
        <v>145</v>
      </c>
      <c r="E691" s="9" t="s">
        <v>145</v>
      </c>
    </row>
    <row r="692">
      <c r="A692" s="9"/>
      <c r="B692" s="9"/>
      <c r="C692" s="9" t="s">
        <v>145</v>
      </c>
      <c r="D692" s="9" t="s">
        <v>145</v>
      </c>
      <c r="E692" s="9" t="s">
        <v>145</v>
      </c>
    </row>
    <row r="693">
      <c r="A693" s="9"/>
      <c r="B693" s="9"/>
      <c r="C693" s="9" t="s">
        <v>145</v>
      </c>
      <c r="D693" s="9" t="s">
        <v>145</v>
      </c>
      <c r="E693" s="9" t="s">
        <v>145</v>
      </c>
    </row>
    <row r="694">
      <c r="A694" s="9"/>
      <c r="B694" s="9"/>
      <c r="C694" s="9" t="s">
        <v>145</v>
      </c>
      <c r="D694" s="9" t="s">
        <v>145</v>
      </c>
      <c r="E694" s="9" t="s">
        <v>145</v>
      </c>
    </row>
    <row r="695">
      <c r="A695" s="9"/>
      <c r="B695" s="9"/>
      <c r="C695" s="9" t="s">
        <v>145</v>
      </c>
      <c r="D695" s="9" t="s">
        <v>145</v>
      </c>
      <c r="E695" s="9" t="s">
        <v>145</v>
      </c>
    </row>
    <row r="696">
      <c r="A696" s="9"/>
      <c r="B696" s="9"/>
      <c r="C696" s="9" t="s">
        <v>145</v>
      </c>
      <c r="D696" s="9" t="s">
        <v>145</v>
      </c>
      <c r="E696" s="9" t="s">
        <v>145</v>
      </c>
    </row>
    <row r="697">
      <c r="A697" s="9"/>
      <c r="B697" s="9"/>
      <c r="C697" s="9" t="s">
        <v>145</v>
      </c>
      <c r="D697" s="9" t="s">
        <v>145</v>
      </c>
      <c r="E697" s="9" t="s">
        <v>145</v>
      </c>
    </row>
    <row r="698">
      <c r="A698" s="9"/>
      <c r="B698" s="9"/>
      <c r="C698" s="9" t="s">
        <v>145</v>
      </c>
      <c r="D698" s="9" t="s">
        <v>145</v>
      </c>
      <c r="E698" s="9" t="s">
        <v>145</v>
      </c>
    </row>
    <row r="699">
      <c r="A699" s="9"/>
      <c r="B699" s="9"/>
      <c r="C699" s="9" t="s">
        <v>145</v>
      </c>
      <c r="D699" s="9" t="s">
        <v>145</v>
      </c>
      <c r="E699" s="9" t="s">
        <v>145</v>
      </c>
    </row>
    <row r="700">
      <c r="A700" s="9"/>
      <c r="B700" s="9"/>
      <c r="C700" s="9" t="s">
        <v>145</v>
      </c>
      <c r="D700" s="9" t="s">
        <v>145</v>
      </c>
      <c r="E700" s="9" t="s">
        <v>145</v>
      </c>
    </row>
    <row r="701">
      <c r="A701" s="9"/>
      <c r="B701" s="9"/>
      <c r="C701" s="9" t="s">
        <v>145</v>
      </c>
      <c r="D701" s="9" t="s">
        <v>145</v>
      </c>
      <c r="E701" s="9" t="s">
        <v>145</v>
      </c>
    </row>
    <row r="702">
      <c r="A702" s="9"/>
      <c r="B702" s="9"/>
      <c r="C702" s="9" t="s">
        <v>145</v>
      </c>
      <c r="D702" s="9" t="s">
        <v>145</v>
      </c>
      <c r="E702" s="9" t="s">
        <v>145</v>
      </c>
    </row>
    <row r="703">
      <c r="A703" s="9"/>
      <c r="B703" s="9"/>
      <c r="C703" s="9" t="s">
        <v>145</v>
      </c>
      <c r="D703" s="9" t="s">
        <v>145</v>
      </c>
      <c r="E703" s="9" t="s">
        <v>145</v>
      </c>
    </row>
    <row r="704">
      <c r="A704" s="9"/>
      <c r="B704" s="9"/>
      <c r="C704" s="9" t="s">
        <v>145</v>
      </c>
      <c r="D704" s="9" t="s">
        <v>145</v>
      </c>
      <c r="E704" s="9" t="s">
        <v>145</v>
      </c>
    </row>
    <row r="705">
      <c r="A705" s="9"/>
      <c r="B705" s="9"/>
      <c r="C705" s="9" t="s">
        <v>145</v>
      </c>
      <c r="D705" s="9" t="s">
        <v>145</v>
      </c>
      <c r="E705" s="9" t="s">
        <v>145</v>
      </c>
    </row>
    <row r="706">
      <c r="A706" s="9"/>
      <c r="B706" s="9"/>
      <c r="C706" s="9" t="s">
        <v>145</v>
      </c>
      <c r="D706" s="9" t="s">
        <v>145</v>
      </c>
      <c r="E706" s="9" t="s">
        <v>145</v>
      </c>
    </row>
    <row r="707">
      <c r="A707" s="9"/>
      <c r="B707" s="9"/>
      <c r="C707" s="9" t="s">
        <v>145</v>
      </c>
      <c r="D707" s="9" t="s">
        <v>145</v>
      </c>
      <c r="E707" s="9" t="s">
        <v>145</v>
      </c>
    </row>
    <row r="708">
      <c r="A708" s="9"/>
      <c r="B708" s="9"/>
      <c r="C708" s="9" t="s">
        <v>145</v>
      </c>
      <c r="D708" s="9" t="s">
        <v>145</v>
      </c>
      <c r="E708" s="9" t="s">
        <v>145</v>
      </c>
    </row>
    <row r="709">
      <c r="A709" s="9"/>
      <c r="B709" s="9"/>
      <c r="C709" s="9" t="s">
        <v>145</v>
      </c>
      <c r="D709" s="9" t="s">
        <v>145</v>
      </c>
      <c r="E709" s="9" t="s">
        <v>145</v>
      </c>
    </row>
    <row r="710">
      <c r="A710" s="9"/>
      <c r="B710" s="9"/>
      <c r="C710" s="9" t="s">
        <v>145</v>
      </c>
      <c r="D710" s="9" t="s">
        <v>145</v>
      </c>
      <c r="E710" s="9" t="s">
        <v>145</v>
      </c>
    </row>
    <row r="711">
      <c r="A711" s="9"/>
      <c r="B711" s="9"/>
      <c r="C711" s="9" t="s">
        <v>145</v>
      </c>
      <c r="D711" s="9" t="s">
        <v>145</v>
      </c>
      <c r="E711" s="9" t="s">
        <v>145</v>
      </c>
    </row>
    <row r="712">
      <c r="A712" s="9"/>
      <c r="B712" s="9"/>
      <c r="C712" s="9" t="s">
        <v>145</v>
      </c>
      <c r="D712" s="9" t="s">
        <v>145</v>
      </c>
      <c r="E712" s="9" t="s">
        <v>145</v>
      </c>
    </row>
    <row r="713">
      <c r="A713" s="9"/>
      <c r="B713" s="9"/>
      <c r="C713" s="9" t="s">
        <v>145</v>
      </c>
      <c r="D713" s="9" t="s">
        <v>145</v>
      </c>
      <c r="E713" s="9" t="s">
        <v>145</v>
      </c>
    </row>
    <row r="714">
      <c r="A714" s="9"/>
      <c r="B714" s="9"/>
      <c r="C714" s="9" t="s">
        <v>145</v>
      </c>
      <c r="D714" s="9" t="s">
        <v>145</v>
      </c>
      <c r="E714" s="9" t="s">
        <v>145</v>
      </c>
    </row>
    <row r="715">
      <c r="A715" s="9"/>
      <c r="B715" s="9"/>
      <c r="C715" s="9" t="s">
        <v>145</v>
      </c>
      <c r="D715" s="9" t="s">
        <v>145</v>
      </c>
      <c r="E715" s="9" t="s">
        <v>145</v>
      </c>
    </row>
    <row r="716">
      <c r="A716" s="9"/>
      <c r="B716" s="9"/>
      <c r="C716" s="9" t="s">
        <v>145</v>
      </c>
      <c r="D716" s="9" t="s">
        <v>145</v>
      </c>
      <c r="E716" s="9" t="s">
        <v>145</v>
      </c>
    </row>
    <row r="717">
      <c r="A717" s="9"/>
      <c r="B717" s="9"/>
      <c r="C717" s="9" t="s">
        <v>145</v>
      </c>
      <c r="D717" s="9" t="s">
        <v>145</v>
      </c>
      <c r="E717" s="9" t="s">
        <v>145</v>
      </c>
    </row>
    <row r="718">
      <c r="A718" s="9"/>
      <c r="B718" s="9"/>
      <c r="C718" s="9" t="s">
        <v>145</v>
      </c>
      <c r="D718" s="9" t="s">
        <v>145</v>
      </c>
      <c r="E718" s="9" t="s">
        <v>145</v>
      </c>
    </row>
    <row r="719">
      <c r="A719" s="9"/>
      <c r="B719" s="9"/>
      <c r="C719" s="9" t="s">
        <v>145</v>
      </c>
      <c r="D719" s="9" t="s">
        <v>145</v>
      </c>
      <c r="E719" s="9" t="s">
        <v>145</v>
      </c>
    </row>
    <row r="720">
      <c r="A720" s="9"/>
      <c r="B720" s="9"/>
      <c r="C720" s="9" t="s">
        <v>145</v>
      </c>
      <c r="D720" s="9" t="s">
        <v>145</v>
      </c>
      <c r="E720" s="9" t="s">
        <v>145</v>
      </c>
    </row>
    <row r="721">
      <c r="A721" s="9"/>
      <c r="B721" s="9"/>
      <c r="C721" s="9" t="s">
        <v>145</v>
      </c>
      <c r="D721" s="9" t="s">
        <v>145</v>
      </c>
      <c r="E721" s="9" t="s">
        <v>145</v>
      </c>
    </row>
    <row r="722">
      <c r="A722" s="9"/>
      <c r="B722" s="9"/>
      <c r="C722" s="9" t="s">
        <v>145</v>
      </c>
      <c r="D722" s="9" t="s">
        <v>145</v>
      </c>
      <c r="E722" s="9" t="s">
        <v>145</v>
      </c>
    </row>
    <row r="723">
      <c r="A723" s="9"/>
      <c r="B723" s="9"/>
      <c r="C723" s="9" t="s">
        <v>145</v>
      </c>
      <c r="D723" s="9" t="s">
        <v>145</v>
      </c>
      <c r="E723" s="9" t="s">
        <v>145</v>
      </c>
    </row>
    <row r="724">
      <c r="A724" s="9"/>
      <c r="B724" s="9"/>
      <c r="C724" s="9" t="s">
        <v>145</v>
      </c>
      <c r="D724" s="9" t="s">
        <v>145</v>
      </c>
      <c r="E724" s="9" t="s">
        <v>145</v>
      </c>
    </row>
    <row r="725">
      <c r="A725" s="9"/>
      <c r="B725" s="9"/>
      <c r="C725" s="9" t="s">
        <v>145</v>
      </c>
      <c r="D725" s="9" t="s">
        <v>145</v>
      </c>
      <c r="E725" s="9" t="s">
        <v>145</v>
      </c>
    </row>
    <row r="726">
      <c r="A726" s="9"/>
      <c r="B726" s="9"/>
      <c r="C726" s="9" t="s">
        <v>145</v>
      </c>
      <c r="D726" s="9" t="s">
        <v>145</v>
      </c>
      <c r="E726" s="9" t="s">
        <v>145</v>
      </c>
    </row>
    <row r="727">
      <c r="A727" s="9"/>
      <c r="B727" s="9"/>
      <c r="C727" s="9" t="s">
        <v>145</v>
      </c>
      <c r="D727" s="9" t="s">
        <v>145</v>
      </c>
      <c r="E727" s="9" t="s">
        <v>145</v>
      </c>
    </row>
    <row r="728">
      <c r="A728" s="9"/>
      <c r="B728" s="9"/>
      <c r="C728" s="9" t="s">
        <v>145</v>
      </c>
      <c r="D728" s="9" t="s">
        <v>145</v>
      </c>
      <c r="E728" s="9" t="s">
        <v>145</v>
      </c>
    </row>
    <row r="729">
      <c r="A729" s="9"/>
      <c r="B729" s="9"/>
      <c r="C729" s="9" t="s">
        <v>145</v>
      </c>
      <c r="D729" s="9" t="s">
        <v>145</v>
      </c>
      <c r="E729" s="9" t="s">
        <v>145</v>
      </c>
    </row>
    <row r="730">
      <c r="A730" s="9"/>
      <c r="B730" s="9"/>
      <c r="C730" s="9" t="s">
        <v>145</v>
      </c>
      <c r="D730" s="9" t="s">
        <v>145</v>
      </c>
      <c r="E730" s="9" t="s">
        <v>145</v>
      </c>
    </row>
    <row r="731">
      <c r="A731" s="9"/>
      <c r="B731" s="9"/>
      <c r="C731" s="9" t="s">
        <v>145</v>
      </c>
      <c r="D731" s="9" t="s">
        <v>145</v>
      </c>
      <c r="E731" s="9" t="s">
        <v>145</v>
      </c>
    </row>
    <row r="732">
      <c r="A732" s="9"/>
      <c r="B732" s="9"/>
      <c r="C732" s="9" t="s">
        <v>145</v>
      </c>
      <c r="D732" s="9" t="s">
        <v>145</v>
      </c>
      <c r="E732" s="9" t="s">
        <v>145</v>
      </c>
    </row>
    <row r="733">
      <c r="A733" s="9"/>
      <c r="B733" s="9"/>
      <c r="C733" s="9" t="s">
        <v>145</v>
      </c>
      <c r="D733" s="9" t="s">
        <v>145</v>
      </c>
      <c r="E733" s="9" t="s">
        <v>145</v>
      </c>
    </row>
    <row r="734">
      <c r="A734" s="9"/>
      <c r="B734" s="9"/>
      <c r="C734" s="9" t="s">
        <v>145</v>
      </c>
      <c r="D734" s="9" t="s">
        <v>145</v>
      </c>
      <c r="E734" s="9" t="s">
        <v>145</v>
      </c>
    </row>
    <row r="735">
      <c r="A735" s="9"/>
      <c r="B735" s="9"/>
      <c r="C735" s="9" t="s">
        <v>145</v>
      </c>
      <c r="D735" s="9" t="s">
        <v>145</v>
      </c>
      <c r="E735" s="9" t="s">
        <v>145</v>
      </c>
    </row>
    <row r="736">
      <c r="A736" s="9"/>
      <c r="B736" s="9"/>
      <c r="C736" s="9" t="s">
        <v>145</v>
      </c>
      <c r="D736" s="9" t="s">
        <v>145</v>
      </c>
      <c r="E736" s="9" t="s">
        <v>145</v>
      </c>
    </row>
    <row r="737">
      <c r="A737" s="9"/>
      <c r="B737" s="9"/>
      <c r="C737" s="9" t="s">
        <v>145</v>
      </c>
      <c r="D737" s="9" t="s">
        <v>145</v>
      </c>
      <c r="E737" s="9" t="s">
        <v>145</v>
      </c>
    </row>
    <row r="738">
      <c r="A738" s="9"/>
      <c r="B738" s="9"/>
      <c r="C738" s="9" t="s">
        <v>145</v>
      </c>
      <c r="D738" s="9" t="s">
        <v>145</v>
      </c>
      <c r="E738" s="9" t="s">
        <v>145</v>
      </c>
    </row>
    <row r="739">
      <c r="A739" s="9"/>
      <c r="B739" s="9"/>
      <c r="C739" s="9" t="s">
        <v>145</v>
      </c>
      <c r="D739" s="9" t="s">
        <v>145</v>
      </c>
      <c r="E739" s="9" t="s">
        <v>145</v>
      </c>
    </row>
    <row r="740">
      <c r="A740" s="9"/>
      <c r="B740" s="9"/>
      <c r="C740" s="9" t="s">
        <v>145</v>
      </c>
      <c r="D740" s="9" t="s">
        <v>145</v>
      </c>
      <c r="E740" s="9" t="s">
        <v>145</v>
      </c>
    </row>
    <row r="741">
      <c r="A741" s="9"/>
      <c r="B741" s="9"/>
      <c r="C741" s="9" t="s">
        <v>145</v>
      </c>
      <c r="D741" s="9" t="s">
        <v>145</v>
      </c>
      <c r="E741" s="9" t="s">
        <v>145</v>
      </c>
    </row>
    <row r="742">
      <c r="A742" s="9"/>
      <c r="B742" s="9"/>
      <c r="C742" s="9" t="s">
        <v>145</v>
      </c>
      <c r="D742" s="9" t="s">
        <v>145</v>
      </c>
      <c r="E742" s="9" t="s">
        <v>145</v>
      </c>
    </row>
    <row r="743">
      <c r="A743" s="9"/>
      <c r="B743" s="9"/>
      <c r="C743" s="9" t="s">
        <v>145</v>
      </c>
      <c r="D743" s="9" t="s">
        <v>145</v>
      </c>
      <c r="E743" s="9" t="s">
        <v>145</v>
      </c>
    </row>
    <row r="744">
      <c r="A744" s="9"/>
      <c r="B744" s="9"/>
      <c r="C744" s="9" t="s">
        <v>145</v>
      </c>
      <c r="D744" s="9" t="s">
        <v>145</v>
      </c>
      <c r="E744" s="9" t="s">
        <v>145</v>
      </c>
    </row>
    <row r="745">
      <c r="A745" s="9"/>
      <c r="B745" s="9"/>
      <c r="C745" s="9" t="s">
        <v>145</v>
      </c>
      <c r="D745" s="9" t="s">
        <v>145</v>
      </c>
      <c r="E745" s="9" t="s">
        <v>145</v>
      </c>
    </row>
    <row r="746">
      <c r="A746" s="9"/>
      <c r="B746" s="9"/>
      <c r="C746" s="9" t="s">
        <v>145</v>
      </c>
      <c r="D746" s="9" t="s">
        <v>145</v>
      </c>
      <c r="E746" s="9" t="s">
        <v>145</v>
      </c>
    </row>
    <row r="747">
      <c r="A747" s="9"/>
      <c r="B747" s="9"/>
      <c r="C747" s="9" t="s">
        <v>145</v>
      </c>
      <c r="D747" s="9" t="s">
        <v>145</v>
      </c>
      <c r="E747" s="9" t="s">
        <v>145</v>
      </c>
    </row>
    <row r="748">
      <c r="A748" s="9"/>
      <c r="B748" s="9"/>
      <c r="C748" s="9" t="s">
        <v>145</v>
      </c>
      <c r="D748" s="9" t="s">
        <v>145</v>
      </c>
      <c r="E748" s="9" t="s">
        <v>145</v>
      </c>
    </row>
    <row r="749">
      <c r="A749" s="9"/>
      <c r="B749" s="9"/>
      <c r="C749" s="9" t="s">
        <v>145</v>
      </c>
      <c r="D749" s="9" t="s">
        <v>145</v>
      </c>
      <c r="E749" s="9" t="s">
        <v>145</v>
      </c>
    </row>
    <row r="750">
      <c r="A750" s="9"/>
      <c r="B750" s="9"/>
      <c r="C750" s="9" t="s">
        <v>145</v>
      </c>
      <c r="D750" s="9" t="s">
        <v>145</v>
      </c>
      <c r="E750" s="9" t="s">
        <v>145</v>
      </c>
    </row>
    <row r="751">
      <c r="A751" s="9"/>
      <c r="B751" s="9"/>
      <c r="C751" s="9" t="s">
        <v>145</v>
      </c>
      <c r="D751" s="9" t="s">
        <v>145</v>
      </c>
      <c r="E751" s="9" t="s">
        <v>145</v>
      </c>
    </row>
    <row r="752">
      <c r="A752" s="9"/>
      <c r="B752" s="9"/>
      <c r="C752" s="9" t="s">
        <v>145</v>
      </c>
      <c r="D752" s="9" t="s">
        <v>145</v>
      </c>
      <c r="E752" s="9" t="s">
        <v>145</v>
      </c>
    </row>
    <row r="753">
      <c r="A753" s="9"/>
      <c r="B753" s="9"/>
      <c r="C753" s="9" t="s">
        <v>145</v>
      </c>
      <c r="D753" s="9" t="s">
        <v>145</v>
      </c>
      <c r="E753" s="9" t="s">
        <v>145</v>
      </c>
    </row>
    <row r="754">
      <c r="A754" s="9"/>
      <c r="B754" s="9"/>
      <c r="C754" s="9" t="s">
        <v>145</v>
      </c>
      <c r="D754" s="9" t="s">
        <v>145</v>
      </c>
      <c r="E754" s="9" t="s">
        <v>145</v>
      </c>
    </row>
    <row r="755">
      <c r="A755" s="9"/>
      <c r="B755" s="9"/>
      <c r="C755" s="9" t="s">
        <v>145</v>
      </c>
      <c r="D755" s="9" t="s">
        <v>145</v>
      </c>
      <c r="E755" s="9" t="s">
        <v>145</v>
      </c>
    </row>
    <row r="756">
      <c r="A756" s="9"/>
      <c r="B756" s="9"/>
      <c r="C756" s="9" t="s">
        <v>145</v>
      </c>
      <c r="D756" s="9" t="s">
        <v>145</v>
      </c>
      <c r="E756" s="9" t="s">
        <v>145</v>
      </c>
    </row>
    <row r="757">
      <c r="A757" s="9"/>
      <c r="B757" s="9"/>
      <c r="C757" s="9" t="s">
        <v>145</v>
      </c>
      <c r="D757" s="9" t="s">
        <v>145</v>
      </c>
      <c r="E757" s="9" t="s">
        <v>145</v>
      </c>
    </row>
    <row r="758">
      <c r="A758" s="9"/>
      <c r="B758" s="9"/>
      <c r="C758" s="9" t="s">
        <v>145</v>
      </c>
      <c r="D758" s="9" t="s">
        <v>145</v>
      </c>
      <c r="E758" s="9" t="s">
        <v>145</v>
      </c>
    </row>
    <row r="759">
      <c r="A759" s="9"/>
      <c r="B759" s="9"/>
      <c r="C759" s="9" t="s">
        <v>145</v>
      </c>
      <c r="D759" s="9" t="s">
        <v>145</v>
      </c>
      <c r="E759" s="9" t="s">
        <v>145</v>
      </c>
    </row>
    <row r="760">
      <c r="A760" s="9"/>
      <c r="B760" s="9"/>
      <c r="C760" s="9" t="s">
        <v>145</v>
      </c>
      <c r="D760" s="9" t="s">
        <v>145</v>
      </c>
      <c r="E760" s="9" t="s">
        <v>145</v>
      </c>
    </row>
    <row r="761">
      <c r="A761" s="9"/>
      <c r="B761" s="9"/>
      <c r="C761" s="9" t="s">
        <v>145</v>
      </c>
      <c r="D761" s="9" t="s">
        <v>145</v>
      </c>
      <c r="E761" s="9" t="s">
        <v>145</v>
      </c>
    </row>
    <row r="762">
      <c r="A762" s="9"/>
      <c r="B762" s="9"/>
      <c r="C762" s="9" t="s">
        <v>145</v>
      </c>
      <c r="D762" s="9" t="s">
        <v>145</v>
      </c>
      <c r="E762" s="9" t="s">
        <v>145</v>
      </c>
    </row>
    <row r="763">
      <c r="A763" s="9"/>
      <c r="B763" s="9"/>
      <c r="C763" s="9" t="s">
        <v>145</v>
      </c>
      <c r="D763" s="9" t="s">
        <v>145</v>
      </c>
      <c r="E763" s="9" t="s">
        <v>145</v>
      </c>
    </row>
    <row r="764">
      <c r="A764" s="9"/>
      <c r="B764" s="9"/>
      <c r="C764" s="9" t="s">
        <v>145</v>
      </c>
      <c r="D764" s="9" t="s">
        <v>145</v>
      </c>
      <c r="E764" s="9" t="s">
        <v>145</v>
      </c>
    </row>
    <row r="765">
      <c r="A765" s="9"/>
      <c r="B765" s="9"/>
      <c r="C765" s="9" t="s">
        <v>145</v>
      </c>
      <c r="D765" s="9" t="s">
        <v>145</v>
      </c>
      <c r="E765" s="9" t="s">
        <v>145</v>
      </c>
    </row>
    <row r="766">
      <c r="A766" s="9"/>
      <c r="B766" s="9"/>
      <c r="C766" s="9" t="s">
        <v>145</v>
      </c>
      <c r="D766" s="9" t="s">
        <v>145</v>
      </c>
      <c r="E766" s="9" t="s">
        <v>145</v>
      </c>
    </row>
    <row r="767">
      <c r="A767" s="9"/>
      <c r="B767" s="9"/>
      <c r="C767" s="9" t="s">
        <v>145</v>
      </c>
      <c r="D767" s="9" t="s">
        <v>145</v>
      </c>
      <c r="E767" s="9" t="s">
        <v>145</v>
      </c>
    </row>
    <row r="768">
      <c r="A768" s="9"/>
      <c r="B768" s="9"/>
      <c r="C768" s="9" t="s">
        <v>145</v>
      </c>
      <c r="D768" s="9" t="s">
        <v>145</v>
      </c>
      <c r="E768" s="9" t="s">
        <v>145</v>
      </c>
    </row>
    <row r="769">
      <c r="A769" s="9"/>
      <c r="B769" s="9"/>
      <c r="C769" s="9" t="s">
        <v>145</v>
      </c>
      <c r="D769" s="9" t="s">
        <v>145</v>
      </c>
      <c r="E769" s="9" t="s">
        <v>145</v>
      </c>
    </row>
    <row r="770">
      <c r="A770" s="9"/>
      <c r="B770" s="9"/>
      <c r="C770" s="9" t="s">
        <v>145</v>
      </c>
      <c r="D770" s="9" t="s">
        <v>145</v>
      </c>
      <c r="E770" s="9" t="s">
        <v>145</v>
      </c>
    </row>
    <row r="771">
      <c r="A771" s="9"/>
      <c r="B771" s="9"/>
      <c r="C771" s="9" t="s">
        <v>145</v>
      </c>
      <c r="D771" s="9" t="s">
        <v>145</v>
      </c>
      <c r="E771" s="9" t="s">
        <v>145</v>
      </c>
    </row>
    <row r="772">
      <c r="A772" s="9"/>
      <c r="B772" s="9"/>
      <c r="C772" s="9" t="s">
        <v>145</v>
      </c>
      <c r="D772" s="9" t="s">
        <v>145</v>
      </c>
      <c r="E772" s="9" t="s">
        <v>145</v>
      </c>
    </row>
    <row r="773">
      <c r="A773" s="9"/>
      <c r="B773" s="9"/>
      <c r="C773" s="9" t="s">
        <v>145</v>
      </c>
      <c r="D773" s="9" t="s">
        <v>145</v>
      </c>
      <c r="E773" s="9" t="s">
        <v>145</v>
      </c>
    </row>
    <row r="774">
      <c r="A774" s="9"/>
      <c r="B774" s="9"/>
      <c r="C774" s="9" t="s">
        <v>145</v>
      </c>
      <c r="D774" s="9" t="s">
        <v>145</v>
      </c>
      <c r="E774" s="9" t="s">
        <v>145</v>
      </c>
    </row>
    <row r="775">
      <c r="A775" s="9"/>
      <c r="B775" s="9"/>
      <c r="C775" s="9" t="s">
        <v>145</v>
      </c>
      <c r="D775" s="9" t="s">
        <v>145</v>
      </c>
      <c r="E775" s="9" t="s">
        <v>145</v>
      </c>
    </row>
    <row r="776">
      <c r="A776" s="9"/>
      <c r="B776" s="9"/>
      <c r="C776" s="9" t="s">
        <v>145</v>
      </c>
      <c r="D776" s="9" t="s">
        <v>145</v>
      </c>
      <c r="E776" s="9" t="s">
        <v>145</v>
      </c>
    </row>
    <row r="777">
      <c r="A777" s="9"/>
      <c r="B777" s="9"/>
      <c r="C777" s="9" t="s">
        <v>145</v>
      </c>
      <c r="D777" s="9" t="s">
        <v>145</v>
      </c>
      <c r="E777" s="9" t="s">
        <v>145</v>
      </c>
    </row>
    <row r="778">
      <c r="A778" s="9"/>
      <c r="B778" s="9"/>
      <c r="C778" s="9" t="s">
        <v>145</v>
      </c>
      <c r="D778" s="9" t="s">
        <v>145</v>
      </c>
      <c r="E778" s="9" t="s">
        <v>145</v>
      </c>
    </row>
    <row r="779">
      <c r="A779" s="9"/>
      <c r="B779" s="9"/>
      <c r="C779" s="9" t="s">
        <v>145</v>
      </c>
      <c r="D779" s="9" t="s">
        <v>145</v>
      </c>
      <c r="E779" s="9" t="s">
        <v>145</v>
      </c>
    </row>
    <row r="780">
      <c r="A780" s="9"/>
      <c r="B780" s="9"/>
      <c r="C780" s="9" t="s">
        <v>145</v>
      </c>
      <c r="D780" s="9" t="s">
        <v>145</v>
      </c>
      <c r="E780" s="9" t="s">
        <v>145</v>
      </c>
    </row>
    <row r="781">
      <c r="A781" s="9"/>
      <c r="B781" s="9"/>
      <c r="C781" s="9" t="s">
        <v>145</v>
      </c>
      <c r="D781" s="9" t="s">
        <v>145</v>
      </c>
      <c r="E781" s="9" t="s">
        <v>145</v>
      </c>
    </row>
    <row r="782">
      <c r="A782" s="9"/>
      <c r="B782" s="9"/>
      <c r="C782" s="9" t="s">
        <v>145</v>
      </c>
      <c r="D782" s="9" t="s">
        <v>145</v>
      </c>
      <c r="E782" s="9" t="s">
        <v>145</v>
      </c>
    </row>
    <row r="783">
      <c r="A783" s="9"/>
      <c r="B783" s="9"/>
      <c r="C783" s="9" t="s">
        <v>145</v>
      </c>
      <c r="D783" s="9" t="s">
        <v>145</v>
      </c>
      <c r="E783" s="9" t="s">
        <v>145</v>
      </c>
    </row>
    <row r="784">
      <c r="A784" s="9"/>
      <c r="B784" s="9"/>
      <c r="C784" s="9" t="s">
        <v>145</v>
      </c>
      <c r="D784" s="9" t="s">
        <v>145</v>
      </c>
      <c r="E784" s="9" t="s">
        <v>145</v>
      </c>
    </row>
    <row r="785">
      <c r="A785" s="9"/>
      <c r="B785" s="9"/>
      <c r="C785" s="9" t="s">
        <v>145</v>
      </c>
      <c r="D785" s="9" t="s">
        <v>145</v>
      </c>
      <c r="E785" s="9" t="s">
        <v>145</v>
      </c>
    </row>
    <row r="786">
      <c r="A786" s="9"/>
      <c r="B786" s="9"/>
      <c r="C786" s="9" t="s">
        <v>145</v>
      </c>
      <c r="D786" s="9" t="s">
        <v>145</v>
      </c>
      <c r="E786" s="9" t="s">
        <v>145</v>
      </c>
    </row>
    <row r="787">
      <c r="A787" s="9"/>
      <c r="B787" s="9"/>
      <c r="C787" s="9" t="s">
        <v>145</v>
      </c>
      <c r="D787" s="9" t="s">
        <v>145</v>
      </c>
      <c r="E787" s="9" t="s">
        <v>145</v>
      </c>
    </row>
    <row r="788">
      <c r="A788" s="9"/>
      <c r="B788" s="9"/>
      <c r="C788" s="9" t="s">
        <v>145</v>
      </c>
      <c r="D788" s="9" t="s">
        <v>145</v>
      </c>
      <c r="E788" s="9" t="s">
        <v>145</v>
      </c>
    </row>
    <row r="789">
      <c r="A789" s="9"/>
      <c r="B789" s="9"/>
      <c r="C789" s="9" t="s">
        <v>145</v>
      </c>
      <c r="D789" s="9" t="s">
        <v>145</v>
      </c>
      <c r="E789" s="9" t="s">
        <v>145</v>
      </c>
    </row>
    <row r="790">
      <c r="A790" s="9"/>
      <c r="B790" s="9"/>
      <c r="C790" s="9" t="s">
        <v>145</v>
      </c>
      <c r="D790" s="9" t="s">
        <v>145</v>
      </c>
      <c r="E790" s="9" t="s">
        <v>145</v>
      </c>
    </row>
    <row r="791">
      <c r="A791" s="9"/>
      <c r="B791" s="9"/>
      <c r="C791" s="9" t="s">
        <v>145</v>
      </c>
      <c r="D791" s="9" t="s">
        <v>145</v>
      </c>
      <c r="E791" s="9" t="s">
        <v>145</v>
      </c>
    </row>
    <row r="792">
      <c r="A792" s="9"/>
      <c r="B792" s="9"/>
      <c r="C792" s="9" t="s">
        <v>145</v>
      </c>
      <c r="D792" s="9" t="s">
        <v>145</v>
      </c>
      <c r="E792" s="9" t="s">
        <v>145</v>
      </c>
    </row>
    <row r="793">
      <c r="A793" s="9"/>
      <c r="B793" s="9"/>
      <c r="C793" s="9" t="s">
        <v>145</v>
      </c>
      <c r="D793" s="9" t="s">
        <v>145</v>
      </c>
      <c r="E793" s="9" t="s">
        <v>145</v>
      </c>
    </row>
    <row r="794">
      <c r="A794" s="9"/>
      <c r="B794" s="9"/>
      <c r="C794" s="9" t="s">
        <v>145</v>
      </c>
      <c r="D794" s="9" t="s">
        <v>145</v>
      </c>
      <c r="E794" s="9" t="s">
        <v>145</v>
      </c>
    </row>
    <row r="795">
      <c r="A795" s="9"/>
      <c r="B795" s="9"/>
      <c r="C795" s="9" t="s">
        <v>145</v>
      </c>
      <c r="D795" s="9" t="s">
        <v>145</v>
      </c>
      <c r="E795" s="9" t="s">
        <v>145</v>
      </c>
    </row>
    <row r="796">
      <c r="A796" s="9"/>
      <c r="B796" s="9"/>
      <c r="C796" s="9" t="s">
        <v>145</v>
      </c>
      <c r="D796" s="9" t="s">
        <v>145</v>
      </c>
      <c r="E796" s="9" t="s">
        <v>145</v>
      </c>
    </row>
    <row r="797">
      <c r="A797" s="9"/>
      <c r="B797" s="9"/>
      <c r="C797" s="9" t="s">
        <v>145</v>
      </c>
      <c r="D797" s="9" t="s">
        <v>145</v>
      </c>
      <c r="E797" s="9" t="s">
        <v>145</v>
      </c>
    </row>
    <row r="798">
      <c r="A798" s="9"/>
      <c r="B798" s="9"/>
      <c r="C798" s="9" t="s">
        <v>145</v>
      </c>
      <c r="D798" s="9" t="s">
        <v>145</v>
      </c>
      <c r="E798" s="9" t="s">
        <v>145</v>
      </c>
    </row>
    <row r="799">
      <c r="A799" s="9"/>
      <c r="B799" s="9"/>
      <c r="C799" s="9" t="s">
        <v>145</v>
      </c>
      <c r="D799" s="9" t="s">
        <v>145</v>
      </c>
      <c r="E799" s="9" t="s">
        <v>145</v>
      </c>
    </row>
    <row r="800">
      <c r="A800" s="9"/>
      <c r="B800" s="9"/>
      <c r="C800" s="9" t="s">
        <v>145</v>
      </c>
      <c r="D800" s="9" t="s">
        <v>145</v>
      </c>
      <c r="E800" s="9" t="s">
        <v>145</v>
      </c>
    </row>
    <row r="801">
      <c r="A801" s="9"/>
      <c r="B801" s="9"/>
      <c r="C801" s="9" t="s">
        <v>145</v>
      </c>
      <c r="D801" s="9" t="s">
        <v>145</v>
      </c>
      <c r="E801" s="9" t="s">
        <v>145</v>
      </c>
    </row>
    <row r="802">
      <c r="A802" s="9"/>
      <c r="B802" s="9"/>
      <c r="C802" s="9" t="s">
        <v>145</v>
      </c>
      <c r="D802" s="9" t="s">
        <v>145</v>
      </c>
      <c r="E802" s="9" t="s">
        <v>145</v>
      </c>
    </row>
    <row r="803">
      <c r="A803" s="9"/>
      <c r="B803" s="9"/>
      <c r="C803" s="9" t="s">
        <v>145</v>
      </c>
      <c r="D803" s="9" t="s">
        <v>145</v>
      </c>
      <c r="E803" s="9" t="s">
        <v>145</v>
      </c>
    </row>
    <row r="804">
      <c r="A804" s="9"/>
      <c r="B804" s="9"/>
      <c r="C804" s="9" t="s">
        <v>145</v>
      </c>
      <c r="D804" s="9" t="s">
        <v>145</v>
      </c>
      <c r="E804" s="9" t="s">
        <v>145</v>
      </c>
    </row>
    <row r="805">
      <c r="A805" s="9"/>
      <c r="B805" s="9"/>
      <c r="C805" s="9" t="s">
        <v>145</v>
      </c>
      <c r="D805" s="9" t="s">
        <v>145</v>
      </c>
      <c r="E805" s="9" t="s">
        <v>145</v>
      </c>
    </row>
    <row r="806">
      <c r="A806" s="9"/>
      <c r="B806" s="9"/>
      <c r="C806" s="9" t="s">
        <v>145</v>
      </c>
      <c r="D806" s="9" t="s">
        <v>145</v>
      </c>
      <c r="E806" s="9" t="s">
        <v>145</v>
      </c>
    </row>
    <row r="807">
      <c r="A807" s="9"/>
      <c r="B807" s="9"/>
      <c r="C807" s="9" t="s">
        <v>145</v>
      </c>
      <c r="D807" s="9" t="s">
        <v>145</v>
      </c>
      <c r="E807" s="9" t="s">
        <v>145</v>
      </c>
    </row>
    <row r="808">
      <c r="A808" s="9"/>
      <c r="B808" s="9"/>
      <c r="C808" s="9" t="s">
        <v>145</v>
      </c>
      <c r="D808" s="9" t="s">
        <v>145</v>
      </c>
      <c r="E808" s="9" t="s">
        <v>145</v>
      </c>
    </row>
    <row r="809">
      <c r="A809" s="9"/>
      <c r="B809" s="9"/>
      <c r="C809" s="9" t="s">
        <v>145</v>
      </c>
      <c r="D809" s="9" t="s">
        <v>145</v>
      </c>
      <c r="E809" s="9" t="s">
        <v>145</v>
      </c>
    </row>
    <row r="810">
      <c r="A810" s="9"/>
      <c r="B810" s="9"/>
      <c r="C810" s="9" t="s">
        <v>145</v>
      </c>
      <c r="D810" s="9" t="s">
        <v>145</v>
      </c>
      <c r="E810" s="9" t="s">
        <v>145</v>
      </c>
    </row>
    <row r="811">
      <c r="A811" s="9"/>
      <c r="B811" s="9"/>
      <c r="C811" s="9" t="s">
        <v>145</v>
      </c>
      <c r="D811" s="9" t="s">
        <v>145</v>
      </c>
      <c r="E811" s="9" t="s">
        <v>145</v>
      </c>
    </row>
    <row r="812">
      <c r="A812" s="9"/>
      <c r="B812" s="9"/>
      <c r="C812" s="9" t="s">
        <v>145</v>
      </c>
      <c r="D812" s="9" t="s">
        <v>145</v>
      </c>
      <c r="E812" s="9" t="s">
        <v>145</v>
      </c>
    </row>
    <row r="813">
      <c r="A813" s="9"/>
      <c r="B813" s="9"/>
      <c r="C813" s="9" t="s">
        <v>145</v>
      </c>
      <c r="D813" s="9" t="s">
        <v>145</v>
      </c>
      <c r="E813" s="9" t="s">
        <v>145</v>
      </c>
    </row>
    <row r="814">
      <c r="A814" s="9"/>
      <c r="B814" s="9"/>
      <c r="C814" s="9" t="s">
        <v>145</v>
      </c>
      <c r="D814" s="9" t="s">
        <v>145</v>
      </c>
      <c r="E814" s="9" t="s">
        <v>145</v>
      </c>
    </row>
    <row r="815">
      <c r="A815" s="9"/>
      <c r="B815" s="9"/>
      <c r="C815" s="9" t="s">
        <v>145</v>
      </c>
      <c r="D815" s="9" t="s">
        <v>145</v>
      </c>
      <c r="E815" s="9" t="s">
        <v>145</v>
      </c>
    </row>
    <row r="816">
      <c r="A816" s="9"/>
      <c r="B816" s="9"/>
      <c r="C816" s="9" t="s">
        <v>145</v>
      </c>
      <c r="D816" s="9" t="s">
        <v>145</v>
      </c>
      <c r="E816" s="9" t="s">
        <v>145</v>
      </c>
    </row>
    <row r="817">
      <c r="A817" s="9"/>
      <c r="B817" s="9"/>
      <c r="C817" s="9" t="s">
        <v>145</v>
      </c>
      <c r="D817" s="9" t="s">
        <v>145</v>
      </c>
      <c r="E817" s="9" t="s">
        <v>145</v>
      </c>
    </row>
    <row r="818">
      <c r="A818" s="9"/>
      <c r="B818" s="9"/>
      <c r="C818" s="9" t="s">
        <v>145</v>
      </c>
      <c r="D818" s="9" t="s">
        <v>145</v>
      </c>
      <c r="E818" s="9" t="s">
        <v>145</v>
      </c>
    </row>
    <row r="819">
      <c r="A819" s="9"/>
      <c r="B819" s="9"/>
      <c r="C819" s="9" t="s">
        <v>145</v>
      </c>
      <c r="D819" s="9" t="s">
        <v>145</v>
      </c>
      <c r="E819" s="9" t="s">
        <v>145</v>
      </c>
    </row>
    <row r="820">
      <c r="A820" s="9"/>
      <c r="B820" s="9"/>
      <c r="C820" s="9" t="s">
        <v>145</v>
      </c>
      <c r="D820" s="9" t="s">
        <v>145</v>
      </c>
      <c r="E820" s="9" t="s">
        <v>145</v>
      </c>
    </row>
    <row r="821">
      <c r="A821" s="9"/>
      <c r="B821" s="9"/>
      <c r="C821" s="9" t="s">
        <v>145</v>
      </c>
      <c r="D821" s="9" t="s">
        <v>145</v>
      </c>
      <c r="E821" s="9" t="s">
        <v>145</v>
      </c>
    </row>
    <row r="822">
      <c r="A822" s="9"/>
      <c r="B822" s="9"/>
      <c r="C822" s="9" t="s">
        <v>145</v>
      </c>
      <c r="D822" s="9" t="s">
        <v>145</v>
      </c>
      <c r="E822" s="9" t="s">
        <v>145</v>
      </c>
    </row>
    <row r="823">
      <c r="A823" s="9"/>
      <c r="B823" s="9"/>
      <c r="C823" s="9" t="s">
        <v>145</v>
      </c>
      <c r="D823" s="9" t="s">
        <v>145</v>
      </c>
      <c r="E823" s="9" t="s">
        <v>145</v>
      </c>
    </row>
    <row r="824">
      <c r="A824" s="9"/>
      <c r="B824" s="9"/>
      <c r="C824" s="9" t="s">
        <v>145</v>
      </c>
      <c r="D824" s="9" t="s">
        <v>145</v>
      </c>
      <c r="E824" s="9" t="s">
        <v>145</v>
      </c>
    </row>
    <row r="825">
      <c r="A825" s="9"/>
      <c r="B825" s="9"/>
      <c r="C825" s="9" t="s">
        <v>145</v>
      </c>
      <c r="D825" s="9" t="s">
        <v>145</v>
      </c>
      <c r="E825" s="9" t="s">
        <v>145</v>
      </c>
    </row>
    <row r="826">
      <c r="A826" s="9"/>
      <c r="B826" s="9"/>
      <c r="C826" s="9" t="s">
        <v>145</v>
      </c>
      <c r="D826" s="9" t="s">
        <v>145</v>
      </c>
      <c r="E826" s="9" t="s">
        <v>145</v>
      </c>
    </row>
    <row r="827">
      <c r="A827" s="9"/>
      <c r="B827" s="9"/>
      <c r="C827" s="9" t="s">
        <v>145</v>
      </c>
      <c r="D827" s="9" t="s">
        <v>145</v>
      </c>
      <c r="E827" s="9" t="s">
        <v>145</v>
      </c>
    </row>
    <row r="828">
      <c r="A828" s="9"/>
      <c r="B828" s="9"/>
      <c r="C828" s="9" t="s">
        <v>145</v>
      </c>
      <c r="D828" s="9" t="s">
        <v>145</v>
      </c>
      <c r="E828" s="9" t="s">
        <v>145</v>
      </c>
    </row>
    <row r="829">
      <c r="A829" s="9"/>
      <c r="B829" s="9"/>
      <c r="C829" s="9" t="s">
        <v>145</v>
      </c>
      <c r="D829" s="9" t="s">
        <v>145</v>
      </c>
      <c r="E829" s="9" t="s">
        <v>145</v>
      </c>
    </row>
    <row r="830">
      <c r="A830" s="9"/>
      <c r="B830" s="9"/>
      <c r="C830" s="9" t="s">
        <v>145</v>
      </c>
      <c r="D830" s="9" t="s">
        <v>145</v>
      </c>
      <c r="E830" s="9" t="s">
        <v>145</v>
      </c>
    </row>
    <row r="831">
      <c r="A831" s="9"/>
      <c r="B831" s="9"/>
      <c r="C831" s="9" t="s">
        <v>145</v>
      </c>
      <c r="D831" s="9" t="s">
        <v>145</v>
      </c>
      <c r="E831" s="9" t="s">
        <v>145</v>
      </c>
    </row>
    <row r="832">
      <c r="A832" s="9"/>
      <c r="B832" s="9"/>
      <c r="C832" s="9" t="s">
        <v>145</v>
      </c>
      <c r="D832" s="9" t="s">
        <v>145</v>
      </c>
      <c r="E832" s="9" t="s">
        <v>145</v>
      </c>
    </row>
    <row r="833">
      <c r="A833" s="9"/>
      <c r="B833" s="9"/>
      <c r="C833" s="9" t="s">
        <v>145</v>
      </c>
      <c r="D833" s="9" t="s">
        <v>145</v>
      </c>
      <c r="E833" s="9" t="s">
        <v>145</v>
      </c>
    </row>
    <row r="834">
      <c r="A834" s="9"/>
      <c r="B834" s="9"/>
      <c r="C834" s="9" t="s">
        <v>145</v>
      </c>
      <c r="D834" s="9" t="s">
        <v>145</v>
      </c>
      <c r="E834" s="9" t="s">
        <v>145</v>
      </c>
    </row>
    <row r="835">
      <c r="A835" s="9"/>
      <c r="B835" s="9"/>
      <c r="C835" s="9" t="s">
        <v>145</v>
      </c>
      <c r="D835" s="9" t="s">
        <v>145</v>
      </c>
      <c r="E835" s="9" t="s">
        <v>145</v>
      </c>
    </row>
    <row r="836">
      <c r="A836" s="9"/>
      <c r="B836" s="9"/>
      <c r="C836" s="9" t="s">
        <v>145</v>
      </c>
      <c r="D836" s="9" t="s">
        <v>145</v>
      </c>
      <c r="E836" s="9" t="s">
        <v>145</v>
      </c>
    </row>
    <row r="837">
      <c r="A837" s="9"/>
      <c r="B837" s="9"/>
      <c r="C837" s="9" t="s">
        <v>145</v>
      </c>
      <c r="D837" s="9" t="s">
        <v>145</v>
      </c>
      <c r="E837" s="9" t="s">
        <v>145</v>
      </c>
    </row>
    <row r="838">
      <c r="A838" s="9"/>
      <c r="B838" s="9"/>
      <c r="C838" s="9" t="s">
        <v>145</v>
      </c>
      <c r="D838" s="9" t="s">
        <v>145</v>
      </c>
      <c r="E838" s="9" t="s">
        <v>145</v>
      </c>
    </row>
    <row r="839">
      <c r="A839" s="9"/>
      <c r="B839" s="9"/>
      <c r="C839" s="9" t="s">
        <v>145</v>
      </c>
      <c r="D839" s="9" t="s">
        <v>145</v>
      </c>
      <c r="E839" s="9" t="s">
        <v>145</v>
      </c>
    </row>
    <row r="840">
      <c r="A840" s="9"/>
      <c r="B840" s="9"/>
      <c r="C840" s="9" t="s">
        <v>145</v>
      </c>
      <c r="D840" s="9" t="s">
        <v>145</v>
      </c>
      <c r="E840" s="9" t="s">
        <v>145</v>
      </c>
    </row>
    <row r="841">
      <c r="A841" s="9"/>
      <c r="B841" s="9"/>
      <c r="C841" s="9" t="s">
        <v>145</v>
      </c>
      <c r="D841" s="9" t="s">
        <v>145</v>
      </c>
      <c r="E841" s="9" t="s">
        <v>145</v>
      </c>
    </row>
    <row r="842">
      <c r="A842" s="9"/>
      <c r="B842" s="9"/>
      <c r="C842" s="9" t="s">
        <v>145</v>
      </c>
      <c r="D842" s="9" t="s">
        <v>145</v>
      </c>
      <c r="E842" s="9" t="s">
        <v>145</v>
      </c>
    </row>
    <row r="843">
      <c r="A843" s="9"/>
      <c r="B843" s="9"/>
      <c r="C843" s="9" t="s">
        <v>145</v>
      </c>
      <c r="D843" s="9" t="s">
        <v>145</v>
      </c>
      <c r="E843" s="9" t="s">
        <v>145</v>
      </c>
    </row>
    <row r="844">
      <c r="A844" s="9"/>
      <c r="B844" s="9"/>
      <c r="C844" s="9" t="s">
        <v>145</v>
      </c>
      <c r="D844" s="9" t="s">
        <v>145</v>
      </c>
      <c r="E844" s="9" t="s">
        <v>145</v>
      </c>
    </row>
    <row r="845">
      <c r="A845" s="9"/>
      <c r="B845" s="9"/>
      <c r="C845" s="9" t="s">
        <v>145</v>
      </c>
      <c r="D845" s="9" t="s">
        <v>145</v>
      </c>
      <c r="E845" s="9" t="s">
        <v>145</v>
      </c>
    </row>
    <row r="846">
      <c r="A846" s="9"/>
      <c r="B846" s="9"/>
      <c r="C846" s="9" t="s">
        <v>145</v>
      </c>
      <c r="D846" s="9" t="s">
        <v>145</v>
      </c>
      <c r="E846" s="9" t="s">
        <v>145</v>
      </c>
    </row>
    <row r="847">
      <c r="A847" s="9"/>
      <c r="B847" s="9"/>
      <c r="C847" s="9" t="s">
        <v>145</v>
      </c>
      <c r="D847" s="9" t="s">
        <v>145</v>
      </c>
      <c r="E847" s="9" t="s">
        <v>145</v>
      </c>
    </row>
    <row r="848">
      <c r="A848" s="9"/>
      <c r="B848" s="9"/>
      <c r="C848" s="9" t="s">
        <v>145</v>
      </c>
      <c r="D848" s="9" t="s">
        <v>145</v>
      </c>
      <c r="E848" s="9" t="s">
        <v>145</v>
      </c>
    </row>
    <row r="849">
      <c r="A849" s="9"/>
      <c r="B849" s="9"/>
      <c r="C849" s="9" t="s">
        <v>145</v>
      </c>
      <c r="D849" s="9" t="s">
        <v>145</v>
      </c>
      <c r="E849" s="9" t="s">
        <v>145</v>
      </c>
    </row>
    <row r="850">
      <c r="A850" s="9"/>
      <c r="B850" s="9"/>
      <c r="C850" s="9" t="s">
        <v>145</v>
      </c>
      <c r="D850" s="9" t="s">
        <v>145</v>
      </c>
      <c r="E850" s="9" t="s">
        <v>145</v>
      </c>
    </row>
    <row r="851">
      <c r="A851" s="9"/>
      <c r="B851" s="9"/>
      <c r="C851" s="9" t="s">
        <v>145</v>
      </c>
      <c r="D851" s="9" t="s">
        <v>145</v>
      </c>
      <c r="E851" s="9" t="s">
        <v>145</v>
      </c>
    </row>
    <row r="852">
      <c r="A852" s="9"/>
      <c r="B852" s="9"/>
      <c r="C852" s="9" t="s">
        <v>145</v>
      </c>
      <c r="D852" s="9" t="s">
        <v>145</v>
      </c>
      <c r="E852" s="9" t="s">
        <v>145</v>
      </c>
    </row>
    <row r="853">
      <c r="A853" s="9"/>
      <c r="B853" s="9"/>
      <c r="C853" s="9" t="s">
        <v>145</v>
      </c>
      <c r="D853" s="9" t="s">
        <v>145</v>
      </c>
      <c r="E853" s="9" t="s">
        <v>145</v>
      </c>
    </row>
    <row r="854">
      <c r="A854" s="9"/>
      <c r="B854" s="9"/>
      <c r="C854" s="9" t="s">
        <v>145</v>
      </c>
      <c r="D854" s="9" t="s">
        <v>145</v>
      </c>
      <c r="E854" s="9" t="s">
        <v>145</v>
      </c>
    </row>
    <row r="855">
      <c r="A855" s="9"/>
      <c r="B855" s="9"/>
      <c r="C855" s="9" t="s">
        <v>145</v>
      </c>
      <c r="D855" s="9" t="s">
        <v>145</v>
      </c>
      <c r="E855" s="9" t="s">
        <v>145</v>
      </c>
    </row>
    <row r="856">
      <c r="A856" s="9"/>
      <c r="B856" s="9"/>
      <c r="C856" s="9" t="s">
        <v>145</v>
      </c>
      <c r="D856" s="9" t="s">
        <v>145</v>
      </c>
      <c r="E856" s="9" t="s">
        <v>145</v>
      </c>
    </row>
    <row r="857">
      <c r="A857" s="9"/>
      <c r="B857" s="9"/>
      <c r="C857" s="9" t="s">
        <v>145</v>
      </c>
      <c r="D857" s="9" t="s">
        <v>145</v>
      </c>
      <c r="E857" s="9" t="s">
        <v>145</v>
      </c>
    </row>
    <row r="858">
      <c r="A858" s="9"/>
      <c r="B858" s="9"/>
      <c r="C858" s="9" t="s">
        <v>145</v>
      </c>
      <c r="D858" s="9" t="s">
        <v>145</v>
      </c>
      <c r="E858" s="9" t="s">
        <v>145</v>
      </c>
    </row>
    <row r="859">
      <c r="A859" s="9"/>
      <c r="B859" s="9"/>
      <c r="C859" s="9" t="s">
        <v>145</v>
      </c>
      <c r="D859" s="9" t="s">
        <v>145</v>
      </c>
      <c r="E859" s="9" t="s">
        <v>145</v>
      </c>
    </row>
    <row r="860">
      <c r="A860" s="9"/>
      <c r="B860" s="9"/>
      <c r="C860" s="9" t="s">
        <v>145</v>
      </c>
      <c r="D860" s="9" t="s">
        <v>145</v>
      </c>
      <c r="E860" s="9" t="s">
        <v>145</v>
      </c>
    </row>
    <row r="861">
      <c r="A861" s="9"/>
      <c r="B861" s="9"/>
      <c r="C861" s="9" t="s">
        <v>145</v>
      </c>
      <c r="D861" s="9" t="s">
        <v>145</v>
      </c>
      <c r="E861" s="9" t="s">
        <v>145</v>
      </c>
    </row>
    <row r="862">
      <c r="A862" s="9"/>
      <c r="B862" s="9"/>
      <c r="C862" s="9" t="s">
        <v>145</v>
      </c>
      <c r="D862" s="9" t="s">
        <v>145</v>
      </c>
      <c r="E862" s="9" t="s">
        <v>145</v>
      </c>
    </row>
    <row r="863">
      <c r="A863" s="9"/>
      <c r="B863" s="9"/>
      <c r="C863" s="9" t="s">
        <v>145</v>
      </c>
      <c r="D863" s="9" t="s">
        <v>145</v>
      </c>
      <c r="E863" s="9" t="s">
        <v>145</v>
      </c>
    </row>
    <row r="864">
      <c r="A864" s="9"/>
      <c r="B864" s="9"/>
      <c r="C864" s="9" t="s">
        <v>145</v>
      </c>
      <c r="D864" s="9" t="s">
        <v>145</v>
      </c>
      <c r="E864" s="9" t="s">
        <v>145</v>
      </c>
    </row>
    <row r="865">
      <c r="A865" s="9"/>
      <c r="B865" s="9"/>
      <c r="C865" s="9" t="s">
        <v>145</v>
      </c>
      <c r="D865" s="9" t="s">
        <v>145</v>
      </c>
      <c r="E865" s="9" t="s">
        <v>145</v>
      </c>
    </row>
    <row r="866">
      <c r="A866" s="9"/>
      <c r="B866" s="9"/>
      <c r="C866" s="9" t="s">
        <v>145</v>
      </c>
      <c r="D866" s="9" t="s">
        <v>145</v>
      </c>
      <c r="E866" s="9" t="s">
        <v>145</v>
      </c>
    </row>
    <row r="867">
      <c r="A867" s="9"/>
      <c r="B867" s="9"/>
      <c r="C867" s="9" t="s">
        <v>145</v>
      </c>
      <c r="D867" s="9" t="s">
        <v>145</v>
      </c>
      <c r="E867" s="9" t="s">
        <v>145</v>
      </c>
    </row>
    <row r="868">
      <c r="A868" s="9"/>
      <c r="B868" s="9"/>
      <c r="C868" s="9" t="s">
        <v>145</v>
      </c>
      <c r="D868" s="9" t="s">
        <v>145</v>
      </c>
      <c r="E868" s="9" t="s">
        <v>145</v>
      </c>
    </row>
    <row r="869">
      <c r="A869" s="9"/>
      <c r="B869" s="9"/>
      <c r="C869" s="9" t="s">
        <v>145</v>
      </c>
      <c r="D869" s="9" t="s">
        <v>145</v>
      </c>
      <c r="E869" s="9" t="s">
        <v>145</v>
      </c>
    </row>
    <row r="870">
      <c r="A870" s="9"/>
      <c r="B870" s="9"/>
      <c r="C870" s="9" t="s">
        <v>145</v>
      </c>
      <c r="D870" s="9" t="s">
        <v>145</v>
      </c>
      <c r="E870" s="9" t="s">
        <v>145</v>
      </c>
    </row>
    <row r="871">
      <c r="A871" s="9"/>
      <c r="B871" s="9"/>
      <c r="C871" s="9" t="s">
        <v>145</v>
      </c>
      <c r="D871" s="9" t="s">
        <v>145</v>
      </c>
      <c r="E871" s="9" t="s">
        <v>145</v>
      </c>
    </row>
    <row r="872">
      <c r="A872" s="9"/>
      <c r="B872" s="9"/>
      <c r="C872" s="9" t="s">
        <v>145</v>
      </c>
      <c r="D872" s="9" t="s">
        <v>145</v>
      </c>
      <c r="E872" s="9" t="s">
        <v>145</v>
      </c>
    </row>
    <row r="873">
      <c r="A873" s="9"/>
      <c r="B873" s="9"/>
      <c r="C873" s="9" t="s">
        <v>145</v>
      </c>
      <c r="D873" s="9" t="s">
        <v>145</v>
      </c>
      <c r="E873" s="9" t="s">
        <v>145</v>
      </c>
    </row>
    <row r="874">
      <c r="A874" s="9"/>
      <c r="B874" s="9"/>
      <c r="C874" s="9" t="s">
        <v>145</v>
      </c>
      <c r="D874" s="9" t="s">
        <v>145</v>
      </c>
      <c r="E874" s="9" t="s">
        <v>145</v>
      </c>
    </row>
    <row r="875">
      <c r="A875" s="9"/>
      <c r="B875" s="9"/>
      <c r="C875" s="9" t="s">
        <v>145</v>
      </c>
      <c r="D875" s="9" t="s">
        <v>145</v>
      </c>
      <c r="E875" s="9" t="s">
        <v>145</v>
      </c>
    </row>
    <row r="876">
      <c r="A876" s="9"/>
      <c r="B876" s="9"/>
      <c r="C876" s="9" t="s">
        <v>145</v>
      </c>
      <c r="D876" s="9" t="s">
        <v>145</v>
      </c>
      <c r="E876" s="9" t="s">
        <v>145</v>
      </c>
    </row>
    <row r="877">
      <c r="A877" s="9"/>
      <c r="B877" s="9"/>
      <c r="C877" s="9" t="s">
        <v>145</v>
      </c>
      <c r="D877" s="9" t="s">
        <v>145</v>
      </c>
      <c r="E877" s="9" t="s">
        <v>145</v>
      </c>
    </row>
    <row r="878">
      <c r="A878" s="9"/>
      <c r="B878" s="9"/>
      <c r="C878" s="9" t="s">
        <v>145</v>
      </c>
      <c r="D878" s="9" t="s">
        <v>145</v>
      </c>
      <c r="E878" s="9" t="s">
        <v>145</v>
      </c>
    </row>
    <row r="879">
      <c r="A879" s="9"/>
      <c r="B879" s="9"/>
      <c r="C879" s="9" t="s">
        <v>145</v>
      </c>
      <c r="D879" s="9" t="s">
        <v>145</v>
      </c>
      <c r="E879" s="9" t="s">
        <v>145</v>
      </c>
    </row>
    <row r="880">
      <c r="A880" s="9"/>
      <c r="B880" s="9"/>
      <c r="C880" s="9" t="s">
        <v>145</v>
      </c>
      <c r="D880" s="9" t="s">
        <v>145</v>
      </c>
      <c r="E880" s="9" t="s">
        <v>145</v>
      </c>
    </row>
    <row r="881">
      <c r="A881" s="9"/>
      <c r="B881" s="9"/>
      <c r="C881" s="9" t="s">
        <v>145</v>
      </c>
      <c r="D881" s="9" t="s">
        <v>145</v>
      </c>
      <c r="E881" s="9" t="s">
        <v>145</v>
      </c>
    </row>
    <row r="882">
      <c r="A882" s="9"/>
      <c r="B882" s="9"/>
      <c r="C882" s="9" t="s">
        <v>145</v>
      </c>
      <c r="D882" s="9" t="s">
        <v>145</v>
      </c>
      <c r="E882" s="9" t="s">
        <v>145</v>
      </c>
    </row>
    <row r="883">
      <c r="A883" s="9"/>
      <c r="B883" s="9"/>
      <c r="C883" s="9" t="s">
        <v>145</v>
      </c>
      <c r="D883" s="9" t="s">
        <v>145</v>
      </c>
      <c r="E883" s="9" t="s">
        <v>145</v>
      </c>
    </row>
    <row r="884">
      <c r="A884" s="9"/>
      <c r="B884" s="9"/>
      <c r="C884" s="9" t="s">
        <v>145</v>
      </c>
      <c r="D884" s="9" t="s">
        <v>145</v>
      </c>
      <c r="E884" s="9" t="s">
        <v>145</v>
      </c>
    </row>
    <row r="885">
      <c r="A885" s="9"/>
      <c r="B885" s="9"/>
      <c r="C885" s="9" t="s">
        <v>145</v>
      </c>
      <c r="D885" s="9" t="s">
        <v>145</v>
      </c>
      <c r="E885" s="9" t="s">
        <v>145</v>
      </c>
    </row>
    <row r="886">
      <c r="A886" s="9"/>
      <c r="B886" s="9"/>
      <c r="C886" s="9" t="s">
        <v>145</v>
      </c>
      <c r="D886" s="9" t="s">
        <v>145</v>
      </c>
      <c r="E886" s="9" t="s">
        <v>145</v>
      </c>
    </row>
    <row r="887">
      <c r="A887" s="9"/>
      <c r="B887" s="9"/>
      <c r="C887" s="9" t="s">
        <v>145</v>
      </c>
      <c r="D887" s="9" t="s">
        <v>145</v>
      </c>
      <c r="E887" s="9" t="s">
        <v>145</v>
      </c>
    </row>
    <row r="888">
      <c r="A888" s="9"/>
      <c r="B888" s="9"/>
      <c r="C888" s="9" t="s">
        <v>145</v>
      </c>
      <c r="D888" s="9" t="s">
        <v>145</v>
      </c>
      <c r="E888" s="9" t="s">
        <v>145</v>
      </c>
    </row>
    <row r="889">
      <c r="A889" s="9"/>
      <c r="B889" s="9"/>
      <c r="C889" s="9" t="s">
        <v>145</v>
      </c>
      <c r="D889" s="9" t="s">
        <v>145</v>
      </c>
      <c r="E889" s="9" t="s">
        <v>145</v>
      </c>
    </row>
    <row r="890">
      <c r="A890" s="9"/>
      <c r="B890" s="9"/>
      <c r="C890" s="9" t="s">
        <v>145</v>
      </c>
      <c r="D890" s="9" t="s">
        <v>145</v>
      </c>
      <c r="E890" s="9" t="s">
        <v>145</v>
      </c>
    </row>
    <row r="891">
      <c r="A891" s="9"/>
      <c r="B891" s="9"/>
      <c r="C891" s="9" t="s">
        <v>145</v>
      </c>
      <c r="D891" s="9" t="s">
        <v>145</v>
      </c>
      <c r="E891" s="9" t="s">
        <v>145</v>
      </c>
    </row>
    <row r="892">
      <c r="A892" s="9"/>
      <c r="B892" s="9"/>
      <c r="C892" s="9" t="s">
        <v>145</v>
      </c>
      <c r="D892" s="9" t="s">
        <v>145</v>
      </c>
      <c r="E892" s="9" t="s">
        <v>145</v>
      </c>
    </row>
    <row r="893">
      <c r="A893" s="9"/>
      <c r="B893" s="9"/>
      <c r="C893" s="9" t="s">
        <v>145</v>
      </c>
      <c r="D893" s="9" t="s">
        <v>145</v>
      </c>
      <c r="E893" s="9" t="s">
        <v>145</v>
      </c>
    </row>
    <row r="894">
      <c r="A894" s="9"/>
      <c r="B894" s="9"/>
      <c r="C894" s="9" t="s">
        <v>145</v>
      </c>
      <c r="D894" s="9" t="s">
        <v>145</v>
      </c>
      <c r="E894" s="9" t="s">
        <v>145</v>
      </c>
    </row>
    <row r="895">
      <c r="A895" s="9"/>
      <c r="B895" s="9"/>
      <c r="C895" s="9" t="s">
        <v>145</v>
      </c>
      <c r="D895" s="9" t="s">
        <v>145</v>
      </c>
      <c r="E895" s="9" t="s">
        <v>145</v>
      </c>
    </row>
    <row r="896">
      <c r="A896" s="9"/>
      <c r="B896" s="9"/>
      <c r="C896" s="9" t="s">
        <v>145</v>
      </c>
      <c r="D896" s="9" t="s">
        <v>145</v>
      </c>
      <c r="E896" s="9" t="s">
        <v>145</v>
      </c>
    </row>
    <row r="897">
      <c r="A897" s="9"/>
      <c r="B897" s="9"/>
      <c r="C897" s="9" t="s">
        <v>145</v>
      </c>
      <c r="D897" s="9" t="s">
        <v>145</v>
      </c>
      <c r="E897" s="9" t="s">
        <v>145</v>
      </c>
    </row>
    <row r="898">
      <c r="A898" s="9"/>
      <c r="B898" s="9"/>
      <c r="C898" s="9" t="s">
        <v>145</v>
      </c>
      <c r="D898" s="9" t="s">
        <v>145</v>
      </c>
      <c r="E898" s="9" t="s">
        <v>145</v>
      </c>
    </row>
    <row r="899">
      <c r="A899" s="9"/>
      <c r="B899" s="9"/>
      <c r="C899" s="9" t="s">
        <v>145</v>
      </c>
      <c r="D899" s="9" t="s">
        <v>145</v>
      </c>
      <c r="E899" s="9" t="s">
        <v>145</v>
      </c>
    </row>
    <row r="900">
      <c r="A900" s="9"/>
      <c r="B900" s="9"/>
      <c r="C900" s="9" t="s">
        <v>145</v>
      </c>
      <c r="D900" s="9" t="s">
        <v>145</v>
      </c>
      <c r="E900" s="9" t="s">
        <v>145</v>
      </c>
    </row>
    <row r="901">
      <c r="A901" s="9"/>
      <c r="B901" s="9"/>
      <c r="C901" s="9" t="s">
        <v>145</v>
      </c>
      <c r="D901" s="9" t="s">
        <v>145</v>
      </c>
      <c r="E901" s="9" t="s">
        <v>145</v>
      </c>
    </row>
    <row r="902">
      <c r="A902" s="9"/>
      <c r="B902" s="9"/>
      <c r="C902" s="9" t="s">
        <v>145</v>
      </c>
      <c r="D902" s="9" t="s">
        <v>145</v>
      </c>
      <c r="E902" s="9" t="s">
        <v>145</v>
      </c>
    </row>
    <row r="903">
      <c r="A903" s="9"/>
      <c r="B903" s="9"/>
      <c r="C903" s="9" t="s">
        <v>145</v>
      </c>
      <c r="D903" s="9" t="s">
        <v>145</v>
      </c>
      <c r="E903" s="9" t="s">
        <v>145</v>
      </c>
    </row>
    <row r="904">
      <c r="A904" s="9"/>
      <c r="B904" s="9"/>
      <c r="C904" s="9" t="s">
        <v>145</v>
      </c>
      <c r="D904" s="9" t="s">
        <v>145</v>
      </c>
      <c r="E904" s="9" t="s">
        <v>145</v>
      </c>
    </row>
    <row r="905">
      <c r="A905" s="9"/>
      <c r="B905" s="9"/>
      <c r="C905" s="9" t="s">
        <v>145</v>
      </c>
      <c r="D905" s="9" t="s">
        <v>145</v>
      </c>
      <c r="E905" s="9" t="s">
        <v>145</v>
      </c>
    </row>
    <row r="906">
      <c r="A906" s="9"/>
      <c r="B906" s="9"/>
      <c r="C906" s="9" t="s">
        <v>145</v>
      </c>
      <c r="D906" s="9" t="s">
        <v>145</v>
      </c>
      <c r="E906" s="9" t="s">
        <v>145</v>
      </c>
    </row>
    <row r="907">
      <c r="A907" s="9"/>
      <c r="B907" s="9"/>
      <c r="C907" s="9" t="s">
        <v>145</v>
      </c>
      <c r="D907" s="9" t="s">
        <v>145</v>
      </c>
      <c r="E907" s="9" t="s">
        <v>145</v>
      </c>
    </row>
    <row r="908">
      <c r="A908" s="9"/>
      <c r="B908" s="9"/>
      <c r="C908" s="9" t="s">
        <v>145</v>
      </c>
      <c r="D908" s="9" t="s">
        <v>145</v>
      </c>
      <c r="E908" s="9" t="s">
        <v>145</v>
      </c>
    </row>
    <row r="909">
      <c r="A909" s="9"/>
      <c r="B909" s="9"/>
      <c r="C909" s="9" t="s">
        <v>145</v>
      </c>
      <c r="D909" s="9" t="s">
        <v>145</v>
      </c>
      <c r="E909" s="9" t="s">
        <v>145</v>
      </c>
    </row>
    <row r="910">
      <c r="A910" s="9"/>
      <c r="B910" s="9"/>
      <c r="C910" s="9" t="s">
        <v>145</v>
      </c>
      <c r="D910" s="9" t="s">
        <v>145</v>
      </c>
      <c r="E910" s="9" t="s">
        <v>145</v>
      </c>
    </row>
    <row r="911">
      <c r="A911" s="9"/>
      <c r="B911" s="9"/>
      <c r="C911" s="9" t="s">
        <v>145</v>
      </c>
      <c r="D911" s="9" t="s">
        <v>145</v>
      </c>
      <c r="E911" s="9" t="s">
        <v>145</v>
      </c>
    </row>
    <row r="912">
      <c r="A912" s="9"/>
      <c r="B912" s="9"/>
      <c r="C912" s="9" t="s">
        <v>145</v>
      </c>
      <c r="D912" s="9" t="s">
        <v>145</v>
      </c>
      <c r="E912" s="9" t="s">
        <v>145</v>
      </c>
    </row>
    <row r="913">
      <c r="A913" s="9"/>
      <c r="B913" s="9"/>
      <c r="C913" s="9" t="s">
        <v>145</v>
      </c>
      <c r="D913" s="9" t="s">
        <v>145</v>
      </c>
      <c r="E913" s="9" t="s">
        <v>145</v>
      </c>
    </row>
    <row r="914">
      <c r="A914" s="9"/>
      <c r="B914" s="9"/>
      <c r="C914" s="9" t="s">
        <v>145</v>
      </c>
      <c r="D914" s="9" t="s">
        <v>145</v>
      </c>
      <c r="E914" s="9" t="s">
        <v>145</v>
      </c>
    </row>
    <row r="915">
      <c r="A915" s="9"/>
      <c r="B915" s="9"/>
      <c r="C915" s="9" t="s">
        <v>145</v>
      </c>
      <c r="D915" s="9" t="s">
        <v>145</v>
      </c>
      <c r="E915" s="9" t="s">
        <v>145</v>
      </c>
    </row>
    <row r="916">
      <c r="A916" s="9"/>
      <c r="B916" s="9"/>
      <c r="C916" s="9" t="s">
        <v>145</v>
      </c>
      <c r="D916" s="9" t="s">
        <v>145</v>
      </c>
      <c r="E916" s="9" t="s">
        <v>145</v>
      </c>
    </row>
    <row r="917">
      <c r="A917" s="9"/>
      <c r="B917" s="9"/>
      <c r="C917" s="9" t="s">
        <v>145</v>
      </c>
      <c r="D917" s="9" t="s">
        <v>145</v>
      </c>
      <c r="E917" s="9" t="s">
        <v>145</v>
      </c>
    </row>
    <row r="918">
      <c r="A918" s="9"/>
      <c r="B918" s="9"/>
      <c r="C918" s="9" t="s">
        <v>145</v>
      </c>
      <c r="D918" s="9" t="s">
        <v>145</v>
      </c>
      <c r="E918" s="9" t="s">
        <v>145</v>
      </c>
    </row>
    <row r="919">
      <c r="A919" s="9"/>
      <c r="B919" s="9"/>
      <c r="C919" s="9" t="s">
        <v>145</v>
      </c>
      <c r="D919" s="9" t="s">
        <v>145</v>
      </c>
      <c r="E919" s="9" t="s">
        <v>145</v>
      </c>
    </row>
    <row r="920">
      <c r="A920" s="9"/>
      <c r="B920" s="9"/>
      <c r="C920" s="9" t="s">
        <v>145</v>
      </c>
      <c r="D920" s="9" t="s">
        <v>145</v>
      </c>
      <c r="E920" s="9" t="s">
        <v>145</v>
      </c>
    </row>
    <row r="921">
      <c r="A921" s="9"/>
      <c r="B921" s="9"/>
      <c r="C921" s="9" t="s">
        <v>145</v>
      </c>
      <c r="D921" s="9" t="s">
        <v>145</v>
      </c>
      <c r="E921" s="9" t="s">
        <v>145</v>
      </c>
    </row>
    <row r="922">
      <c r="A922" s="9"/>
      <c r="B922" s="9"/>
      <c r="C922" s="9" t="s">
        <v>145</v>
      </c>
      <c r="D922" s="9" t="s">
        <v>145</v>
      </c>
      <c r="E922" s="9" t="s">
        <v>145</v>
      </c>
    </row>
    <row r="923">
      <c r="A923" s="9"/>
      <c r="B923" s="9"/>
      <c r="C923" s="9" t="s">
        <v>145</v>
      </c>
      <c r="D923" s="9" t="s">
        <v>145</v>
      </c>
      <c r="E923" s="9" t="s">
        <v>145</v>
      </c>
    </row>
    <row r="924">
      <c r="A924" s="9"/>
      <c r="B924" s="9"/>
      <c r="C924" s="9" t="s">
        <v>145</v>
      </c>
      <c r="D924" s="9" t="s">
        <v>145</v>
      </c>
      <c r="E924" s="9" t="s">
        <v>145</v>
      </c>
    </row>
    <row r="925">
      <c r="A925" s="9"/>
      <c r="B925" s="9"/>
      <c r="C925" s="9" t="s">
        <v>145</v>
      </c>
      <c r="D925" s="9" t="s">
        <v>145</v>
      </c>
      <c r="E925" s="9" t="s">
        <v>145</v>
      </c>
    </row>
    <row r="926">
      <c r="A926" s="9"/>
      <c r="B926" s="9"/>
      <c r="C926" s="9" t="s">
        <v>145</v>
      </c>
      <c r="D926" s="9" t="s">
        <v>145</v>
      </c>
      <c r="E926" s="9" t="s">
        <v>145</v>
      </c>
    </row>
    <row r="927">
      <c r="A927" s="9"/>
      <c r="B927" s="9"/>
      <c r="C927" s="9" t="s">
        <v>145</v>
      </c>
      <c r="D927" s="9" t="s">
        <v>145</v>
      </c>
      <c r="E927" s="9" t="s">
        <v>145</v>
      </c>
    </row>
    <row r="928">
      <c r="A928" s="9"/>
      <c r="B928" s="9"/>
      <c r="C928" s="9" t="s">
        <v>145</v>
      </c>
      <c r="D928" s="9" t="s">
        <v>145</v>
      </c>
      <c r="E928" s="9" t="s">
        <v>145</v>
      </c>
    </row>
    <row r="929">
      <c r="A929" s="9"/>
      <c r="B929" s="9"/>
      <c r="C929" s="9" t="s">
        <v>145</v>
      </c>
      <c r="D929" s="9" t="s">
        <v>145</v>
      </c>
      <c r="E929" s="9" t="s">
        <v>145</v>
      </c>
    </row>
    <row r="930">
      <c r="A930" s="9"/>
      <c r="B930" s="9"/>
      <c r="C930" s="9" t="s">
        <v>145</v>
      </c>
      <c r="D930" s="9" t="s">
        <v>145</v>
      </c>
      <c r="E930" s="9" t="s">
        <v>145</v>
      </c>
    </row>
    <row r="931">
      <c r="A931" s="9"/>
      <c r="B931" s="9"/>
      <c r="C931" s="9" t="s">
        <v>145</v>
      </c>
      <c r="D931" s="9" t="s">
        <v>145</v>
      </c>
      <c r="E931" s="9" t="s">
        <v>145</v>
      </c>
    </row>
    <row r="932">
      <c r="A932" s="9"/>
      <c r="B932" s="9"/>
      <c r="C932" s="9" t="s">
        <v>145</v>
      </c>
      <c r="D932" s="9" t="s">
        <v>145</v>
      </c>
      <c r="E932" s="9" t="s">
        <v>145</v>
      </c>
    </row>
    <row r="933">
      <c r="A933" s="9"/>
      <c r="B933" s="9"/>
      <c r="C933" s="9" t="s">
        <v>145</v>
      </c>
      <c r="D933" s="9" t="s">
        <v>145</v>
      </c>
      <c r="E933" s="9" t="s">
        <v>145</v>
      </c>
    </row>
    <row r="934">
      <c r="A934" s="9"/>
      <c r="B934" s="9"/>
      <c r="C934" s="9" t="s">
        <v>145</v>
      </c>
      <c r="D934" s="9" t="s">
        <v>145</v>
      </c>
      <c r="E934" s="9" t="s">
        <v>145</v>
      </c>
    </row>
    <row r="935">
      <c r="A935" s="9"/>
      <c r="B935" s="9"/>
      <c r="C935" s="9" t="s">
        <v>145</v>
      </c>
      <c r="D935" s="9" t="s">
        <v>145</v>
      </c>
      <c r="E935" s="9" t="s">
        <v>145</v>
      </c>
    </row>
    <row r="936">
      <c r="A936" s="9"/>
      <c r="B936" s="9"/>
      <c r="C936" s="9" t="s">
        <v>145</v>
      </c>
      <c r="D936" s="9" t="s">
        <v>145</v>
      </c>
      <c r="E936" s="9" t="s">
        <v>145</v>
      </c>
    </row>
    <row r="937">
      <c r="A937" s="9"/>
      <c r="B937" s="9"/>
      <c r="C937" s="9" t="s">
        <v>145</v>
      </c>
      <c r="D937" s="9" t="s">
        <v>145</v>
      </c>
      <c r="E937" s="9" t="s">
        <v>145</v>
      </c>
    </row>
    <row r="938">
      <c r="A938" s="9"/>
      <c r="B938" s="9"/>
      <c r="C938" s="9" t="s">
        <v>145</v>
      </c>
      <c r="D938" s="9" t="s">
        <v>145</v>
      </c>
      <c r="E938" s="9" t="s">
        <v>145</v>
      </c>
    </row>
    <row r="939">
      <c r="A939" s="9"/>
      <c r="B939" s="9"/>
      <c r="C939" s="9" t="s">
        <v>145</v>
      </c>
      <c r="D939" s="9" t="s">
        <v>145</v>
      </c>
      <c r="E939" s="9" t="s">
        <v>145</v>
      </c>
    </row>
    <row r="940">
      <c r="A940" s="9"/>
      <c r="B940" s="9"/>
      <c r="C940" s="9" t="s">
        <v>145</v>
      </c>
      <c r="D940" s="9" t="s">
        <v>145</v>
      </c>
      <c r="E940" s="9" t="s">
        <v>145</v>
      </c>
    </row>
    <row r="941">
      <c r="A941" s="9"/>
      <c r="B941" s="9"/>
      <c r="C941" s="9" t="s">
        <v>145</v>
      </c>
      <c r="D941" s="9" t="s">
        <v>145</v>
      </c>
      <c r="E941" s="9" t="s">
        <v>145</v>
      </c>
    </row>
    <row r="942">
      <c r="A942" s="9"/>
      <c r="B942" s="9"/>
      <c r="C942" s="9" t="s">
        <v>145</v>
      </c>
      <c r="D942" s="9" t="s">
        <v>145</v>
      </c>
      <c r="E942" s="9" t="s">
        <v>145</v>
      </c>
    </row>
    <row r="943">
      <c r="A943" s="9"/>
      <c r="B943" s="9"/>
      <c r="C943" s="9" t="s">
        <v>145</v>
      </c>
      <c r="D943" s="9" t="s">
        <v>145</v>
      </c>
      <c r="E943" s="9" t="s">
        <v>145</v>
      </c>
    </row>
    <row r="944">
      <c r="A944" s="9"/>
      <c r="B944" s="9"/>
      <c r="C944" s="9" t="s">
        <v>145</v>
      </c>
      <c r="D944" s="9" t="s">
        <v>145</v>
      </c>
      <c r="E944" s="9" t="s">
        <v>145</v>
      </c>
    </row>
    <row r="945">
      <c r="A945" s="9"/>
      <c r="B945" s="9"/>
      <c r="C945" s="9" t="s">
        <v>145</v>
      </c>
      <c r="D945" s="9" t="s">
        <v>145</v>
      </c>
      <c r="E945" s="9" t="s">
        <v>145</v>
      </c>
    </row>
    <row r="946">
      <c r="A946" s="9"/>
      <c r="B946" s="9"/>
      <c r="C946" s="9" t="s">
        <v>145</v>
      </c>
      <c r="D946" s="9" t="s">
        <v>145</v>
      </c>
      <c r="E946" s="9" t="s">
        <v>145</v>
      </c>
    </row>
    <row r="947">
      <c r="A947" s="9"/>
      <c r="B947" s="9"/>
      <c r="C947" s="9" t="s">
        <v>145</v>
      </c>
      <c r="D947" s="9" t="s">
        <v>145</v>
      </c>
      <c r="E947" s="9" t="s">
        <v>145</v>
      </c>
    </row>
    <row r="948">
      <c r="A948" s="9"/>
      <c r="B948" s="9"/>
      <c r="C948" s="9" t="s">
        <v>145</v>
      </c>
      <c r="D948" s="9" t="s">
        <v>145</v>
      </c>
      <c r="E948" s="9" t="s">
        <v>145</v>
      </c>
    </row>
    <row r="949">
      <c r="A949" s="9"/>
      <c r="B949" s="9"/>
      <c r="C949" s="9" t="s">
        <v>145</v>
      </c>
      <c r="D949" s="9" t="s">
        <v>145</v>
      </c>
      <c r="E949" s="9" t="s">
        <v>145</v>
      </c>
    </row>
    <row r="950">
      <c r="A950" s="9"/>
      <c r="B950" s="9"/>
      <c r="C950" s="9" t="s">
        <v>145</v>
      </c>
      <c r="D950" s="9" t="s">
        <v>145</v>
      </c>
      <c r="E950" s="9" t="s">
        <v>145</v>
      </c>
    </row>
    <row r="951">
      <c r="A951" s="9"/>
      <c r="B951" s="9"/>
      <c r="C951" s="9" t="s">
        <v>145</v>
      </c>
      <c r="D951" s="9" t="s">
        <v>145</v>
      </c>
      <c r="E951" s="9" t="s">
        <v>145</v>
      </c>
    </row>
    <row r="952">
      <c r="A952" s="9"/>
      <c r="B952" s="9"/>
      <c r="C952" s="9" t="s">
        <v>145</v>
      </c>
      <c r="D952" s="9" t="s">
        <v>145</v>
      </c>
      <c r="E952" s="9" t="s">
        <v>145</v>
      </c>
    </row>
    <row r="953">
      <c r="A953" s="9"/>
      <c r="B953" s="9"/>
      <c r="C953" s="9" t="s">
        <v>145</v>
      </c>
      <c r="D953" s="9" t="s">
        <v>145</v>
      </c>
      <c r="E953" s="9" t="s">
        <v>145</v>
      </c>
    </row>
    <row r="954">
      <c r="A954" s="9"/>
      <c r="B954" s="9"/>
      <c r="C954" s="9" t="s">
        <v>145</v>
      </c>
      <c r="D954" s="9" t="s">
        <v>145</v>
      </c>
      <c r="E954" s="9" t="s">
        <v>145</v>
      </c>
    </row>
    <row r="955">
      <c r="A955" s="9"/>
      <c r="B955" s="9"/>
      <c r="C955" s="9" t="s">
        <v>145</v>
      </c>
      <c r="D955" s="9" t="s">
        <v>145</v>
      </c>
      <c r="E955" s="9" t="s">
        <v>145</v>
      </c>
    </row>
    <row r="956">
      <c r="A956" s="9"/>
      <c r="B956" s="9"/>
      <c r="C956" s="9" t="s">
        <v>145</v>
      </c>
      <c r="D956" s="9" t="s">
        <v>145</v>
      </c>
      <c r="E956" s="9" t="s">
        <v>145</v>
      </c>
    </row>
    <row r="957">
      <c r="A957" s="9"/>
      <c r="B957" s="9"/>
      <c r="C957" s="9" t="s">
        <v>145</v>
      </c>
      <c r="D957" s="9" t="s">
        <v>145</v>
      </c>
      <c r="E957" s="9" t="s">
        <v>145</v>
      </c>
    </row>
    <row r="958">
      <c r="A958" s="9"/>
      <c r="B958" s="9"/>
      <c r="C958" s="9" t="s">
        <v>145</v>
      </c>
      <c r="D958" s="9" t="s">
        <v>145</v>
      </c>
      <c r="E958" s="9" t="s">
        <v>145</v>
      </c>
    </row>
    <row r="959">
      <c r="A959" s="9"/>
      <c r="B959" s="9"/>
      <c r="C959" s="9" t="s">
        <v>145</v>
      </c>
      <c r="D959" s="9" t="s">
        <v>145</v>
      </c>
      <c r="E959" s="9" t="s">
        <v>145</v>
      </c>
    </row>
    <row r="960">
      <c r="A960" s="9"/>
      <c r="B960" s="9"/>
      <c r="C960" s="9" t="s">
        <v>145</v>
      </c>
      <c r="D960" s="9" t="s">
        <v>145</v>
      </c>
      <c r="E960" s="9" t="s">
        <v>145</v>
      </c>
    </row>
    <row r="961">
      <c r="A961" s="9"/>
      <c r="B961" s="9"/>
      <c r="C961" s="9" t="s">
        <v>145</v>
      </c>
      <c r="D961" s="9" t="s">
        <v>145</v>
      </c>
      <c r="E961" s="9" t="s">
        <v>145</v>
      </c>
    </row>
    <row r="962">
      <c r="A962" s="9"/>
      <c r="B962" s="9"/>
      <c r="C962" s="9" t="s">
        <v>145</v>
      </c>
      <c r="D962" s="9" t="s">
        <v>145</v>
      </c>
      <c r="E962" s="9" t="s">
        <v>145</v>
      </c>
    </row>
    <row r="963">
      <c r="A963" s="9"/>
      <c r="B963" s="9"/>
      <c r="C963" s="9" t="s">
        <v>145</v>
      </c>
      <c r="D963" s="9" t="s">
        <v>145</v>
      </c>
      <c r="E963" s="9" t="s">
        <v>145</v>
      </c>
    </row>
    <row r="964">
      <c r="A964" s="9"/>
      <c r="B964" s="9"/>
      <c r="C964" s="9" t="s">
        <v>145</v>
      </c>
      <c r="D964" s="9" t="s">
        <v>145</v>
      </c>
      <c r="E964" s="9" t="s">
        <v>145</v>
      </c>
    </row>
    <row r="965">
      <c r="A965" s="9"/>
      <c r="B965" s="9"/>
      <c r="C965" s="9" t="s">
        <v>145</v>
      </c>
      <c r="D965" s="9" t="s">
        <v>145</v>
      </c>
      <c r="E965" s="9" t="s">
        <v>145</v>
      </c>
    </row>
    <row r="966">
      <c r="A966" s="9"/>
      <c r="B966" s="9"/>
      <c r="C966" s="9" t="s">
        <v>145</v>
      </c>
      <c r="D966" s="9" t="s">
        <v>145</v>
      </c>
      <c r="E966" s="9" t="s">
        <v>145</v>
      </c>
    </row>
    <row r="967">
      <c r="A967" s="9"/>
      <c r="B967" s="9"/>
      <c r="C967" s="9" t="s">
        <v>145</v>
      </c>
      <c r="D967" s="9" t="s">
        <v>145</v>
      </c>
      <c r="E967" s="9" t="s">
        <v>145</v>
      </c>
    </row>
    <row r="968">
      <c r="A968" s="9"/>
      <c r="B968" s="9"/>
      <c r="C968" s="9" t="s">
        <v>145</v>
      </c>
      <c r="D968" s="9" t="s">
        <v>145</v>
      </c>
      <c r="E968" s="9" t="s">
        <v>145</v>
      </c>
    </row>
    <row r="969">
      <c r="A969" s="9"/>
      <c r="B969" s="9"/>
      <c r="C969" s="9" t="s">
        <v>145</v>
      </c>
      <c r="D969" s="9" t="s">
        <v>145</v>
      </c>
      <c r="E969" s="9" t="s">
        <v>145</v>
      </c>
    </row>
    <row r="970">
      <c r="A970" s="9"/>
      <c r="B970" s="9"/>
      <c r="C970" s="9" t="s">
        <v>145</v>
      </c>
      <c r="D970" s="9" t="s">
        <v>145</v>
      </c>
      <c r="E970" s="9" t="s">
        <v>145</v>
      </c>
    </row>
    <row r="971">
      <c r="A971" s="9"/>
      <c r="B971" s="9"/>
      <c r="C971" s="9" t="s">
        <v>145</v>
      </c>
      <c r="D971" s="9" t="s">
        <v>145</v>
      </c>
      <c r="E971" s="9" t="s">
        <v>145</v>
      </c>
    </row>
    <row r="972">
      <c r="A972" s="9"/>
      <c r="B972" s="9"/>
      <c r="C972" s="9" t="s">
        <v>145</v>
      </c>
      <c r="D972" s="9" t="s">
        <v>145</v>
      </c>
      <c r="E972" s="9" t="s">
        <v>145</v>
      </c>
    </row>
    <row r="973">
      <c r="A973" s="9"/>
      <c r="B973" s="9"/>
      <c r="C973" s="9" t="s">
        <v>145</v>
      </c>
      <c r="D973" s="9" t="s">
        <v>145</v>
      </c>
      <c r="E973" s="9" t="s">
        <v>145</v>
      </c>
    </row>
    <row r="974">
      <c r="A974" s="9"/>
      <c r="B974" s="9"/>
      <c r="C974" s="9" t="s">
        <v>145</v>
      </c>
      <c r="D974" s="9" t="s">
        <v>145</v>
      </c>
      <c r="E974" s="9" t="s">
        <v>145</v>
      </c>
    </row>
    <row r="975">
      <c r="A975" s="9"/>
      <c r="B975" s="9"/>
      <c r="C975" s="9" t="s">
        <v>145</v>
      </c>
      <c r="D975" s="9" t="s">
        <v>145</v>
      </c>
      <c r="E975" s="9" t="s">
        <v>145</v>
      </c>
    </row>
    <row r="976">
      <c r="A976" s="9"/>
      <c r="B976" s="9"/>
      <c r="C976" s="9" t="s">
        <v>145</v>
      </c>
      <c r="D976" s="9" t="s">
        <v>145</v>
      </c>
      <c r="E976" s="9" t="s">
        <v>145</v>
      </c>
    </row>
    <row r="977">
      <c r="A977" s="9"/>
      <c r="B977" s="9"/>
      <c r="C977" s="9" t="s">
        <v>145</v>
      </c>
      <c r="D977" s="9" t="s">
        <v>145</v>
      </c>
      <c r="E977" s="9" t="s">
        <v>145</v>
      </c>
    </row>
    <row r="978">
      <c r="A978" s="9"/>
      <c r="B978" s="9"/>
      <c r="C978" s="9" t="s">
        <v>145</v>
      </c>
      <c r="D978" s="9" t="s">
        <v>145</v>
      </c>
      <c r="E978" s="9" t="s">
        <v>145</v>
      </c>
    </row>
    <row r="979">
      <c r="A979" s="9"/>
      <c r="B979" s="9"/>
      <c r="C979" s="9" t="s">
        <v>145</v>
      </c>
      <c r="D979" s="9" t="s">
        <v>145</v>
      </c>
      <c r="E979" s="9" t="s">
        <v>145</v>
      </c>
    </row>
    <row r="980">
      <c r="A980" s="9"/>
      <c r="B980" s="9"/>
      <c r="C980" s="9" t="s">
        <v>145</v>
      </c>
      <c r="D980" s="9" t="s">
        <v>145</v>
      </c>
      <c r="E980" s="9" t="s">
        <v>145</v>
      </c>
    </row>
    <row r="981">
      <c r="A981" s="9"/>
      <c r="B981" s="9"/>
      <c r="C981" s="9" t="s">
        <v>145</v>
      </c>
      <c r="D981" s="9" t="s">
        <v>145</v>
      </c>
      <c r="E981" s="9" t="s">
        <v>145</v>
      </c>
    </row>
    <row r="982">
      <c r="A982" s="9"/>
      <c r="B982" s="9"/>
      <c r="C982" s="9" t="s">
        <v>145</v>
      </c>
      <c r="D982" s="9" t="s">
        <v>145</v>
      </c>
      <c r="E982" s="9" t="s">
        <v>145</v>
      </c>
    </row>
    <row r="983">
      <c r="A983" s="9"/>
      <c r="B983" s="9"/>
      <c r="C983" s="9" t="s">
        <v>145</v>
      </c>
      <c r="D983" s="9" t="s">
        <v>145</v>
      </c>
      <c r="E983" s="9" t="s">
        <v>145</v>
      </c>
    </row>
    <row r="984">
      <c r="A984" s="9"/>
      <c r="B984" s="9"/>
      <c r="C984" s="9" t="s">
        <v>145</v>
      </c>
      <c r="D984" s="9" t="s">
        <v>145</v>
      </c>
      <c r="E984" s="9" t="s">
        <v>145</v>
      </c>
    </row>
    <row r="985">
      <c r="A985" s="9"/>
      <c r="B985" s="9"/>
      <c r="C985" s="9" t="s">
        <v>145</v>
      </c>
      <c r="D985" s="9" t="s">
        <v>145</v>
      </c>
      <c r="E985" s="9" t="s">
        <v>145</v>
      </c>
    </row>
    <row r="986">
      <c r="A986" s="9"/>
      <c r="B986" s="9"/>
      <c r="C986" s="9" t="s">
        <v>145</v>
      </c>
      <c r="D986" s="9" t="s">
        <v>145</v>
      </c>
      <c r="E986" s="9" t="s">
        <v>145</v>
      </c>
    </row>
    <row r="987">
      <c r="A987" s="9"/>
      <c r="B987" s="9"/>
      <c r="C987" s="9" t="s">
        <v>145</v>
      </c>
      <c r="D987" s="9" t="s">
        <v>145</v>
      </c>
      <c r="E987" s="9" t="s">
        <v>145</v>
      </c>
    </row>
    <row r="988">
      <c r="A988" s="9"/>
      <c r="B988" s="9"/>
      <c r="C988" s="9" t="s">
        <v>145</v>
      </c>
      <c r="D988" s="9" t="s">
        <v>145</v>
      </c>
      <c r="E988" s="9" t="s">
        <v>145</v>
      </c>
    </row>
    <row r="989">
      <c r="A989" s="9"/>
      <c r="B989" s="9"/>
      <c r="C989" s="9" t="s">
        <v>145</v>
      </c>
      <c r="D989" s="9" t="s">
        <v>145</v>
      </c>
      <c r="E989" s="9" t="s">
        <v>145</v>
      </c>
    </row>
    <row r="990">
      <c r="A990" s="9"/>
      <c r="B990" s="9"/>
      <c r="C990" s="9" t="s">
        <v>145</v>
      </c>
      <c r="D990" s="9" t="s">
        <v>145</v>
      </c>
      <c r="E990" s="9" t="s">
        <v>145</v>
      </c>
    </row>
    <row r="991">
      <c r="A991" s="9"/>
      <c r="B991" s="9"/>
      <c r="C991" s="9" t="s">
        <v>145</v>
      </c>
      <c r="D991" s="9" t="s">
        <v>145</v>
      </c>
      <c r="E991" s="9" t="s">
        <v>145</v>
      </c>
    </row>
    <row r="992">
      <c r="A992" s="9"/>
      <c r="B992" s="9"/>
      <c r="C992" s="9" t="s">
        <v>145</v>
      </c>
      <c r="D992" s="9" t="s">
        <v>145</v>
      </c>
      <c r="E992" s="9" t="s">
        <v>145</v>
      </c>
    </row>
    <row r="993">
      <c r="A993" s="9"/>
      <c r="B993" s="9"/>
      <c r="C993" s="9" t="s">
        <v>145</v>
      </c>
      <c r="D993" s="9" t="s">
        <v>145</v>
      </c>
      <c r="E993" s="9" t="s">
        <v>145</v>
      </c>
    </row>
    <row r="994">
      <c r="A994" s="9"/>
      <c r="B994" s="9"/>
      <c r="C994" s="9" t="s">
        <v>145</v>
      </c>
      <c r="D994" s="9" t="s">
        <v>145</v>
      </c>
      <c r="E994" s="9" t="s">
        <v>145</v>
      </c>
    </row>
    <row r="995">
      <c r="A995" s="9"/>
      <c r="B995" s="9"/>
      <c r="C995" s="9" t="s">
        <v>145</v>
      </c>
      <c r="D995" s="9" t="s">
        <v>145</v>
      </c>
      <c r="E995" s="9" t="s">
        <v>145</v>
      </c>
    </row>
    <row r="996">
      <c r="A996" s="9"/>
      <c r="B996" s="9"/>
      <c r="C996" s="9" t="s">
        <v>145</v>
      </c>
      <c r="D996" s="9" t="s">
        <v>145</v>
      </c>
      <c r="E996" s="9" t="s">
        <v>145</v>
      </c>
    </row>
    <row r="997">
      <c r="A997" s="9"/>
      <c r="B997" s="9"/>
      <c r="C997" s="9" t="s">
        <v>145</v>
      </c>
      <c r="D997" s="9" t="s">
        <v>145</v>
      </c>
      <c r="E997" s="9" t="s">
        <v>145</v>
      </c>
    </row>
    <row r="998">
      <c r="A998" s="9"/>
      <c r="B998" s="9"/>
      <c r="C998" s="9" t="s">
        <v>145</v>
      </c>
      <c r="D998" s="9" t="s">
        <v>145</v>
      </c>
      <c r="E998" s="9" t="s">
        <v>145</v>
      </c>
    </row>
    <row r="999">
      <c r="A999" s="9"/>
      <c r="B999" s="9"/>
      <c r="C999" s="9" t="s">
        <v>145</v>
      </c>
      <c r="D999" s="9" t="s">
        <v>145</v>
      </c>
      <c r="E999" s="9" t="s">
        <v>145</v>
      </c>
    </row>
    <row r="1000">
      <c r="A1000" s="9"/>
      <c r="B1000" s="9"/>
      <c r="C1000" s="9" t="s">
        <v>145</v>
      </c>
      <c r="D1000" s="9" t="s">
        <v>145</v>
      </c>
      <c r="E1000" s="9" t="s">
        <v>145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63"/>
    <col customWidth="1" min="2" max="7" width="16.38"/>
  </cols>
  <sheetData>
    <row r="1">
      <c r="A1" s="4" t="s">
        <v>3</v>
      </c>
    </row>
    <row r="3">
      <c r="A3" s="1" t="s">
        <v>10</v>
      </c>
      <c r="B3" s="7">
        <f t="array" ref="B3">COUNTA(INDIRECT("'Respuestas de formulario 1'!A2:A"))</f>
        <v>49</v>
      </c>
    </row>
    <row r="4">
      <c r="A4" s="1" t="s">
        <v>16</v>
      </c>
      <c r="B4" s="7">
        <f t="array" ref="B4">COUNTIF(INDIRECT("'Respuestas de formulario 1'!B2:B"), "Sí")</f>
        <v>38</v>
      </c>
    </row>
    <row r="6">
      <c r="A6" s="8" t="s">
        <v>17</v>
      </c>
    </row>
    <row r="8">
      <c r="A8" s="5" t="s">
        <v>18</v>
      </c>
      <c r="B8" s="7">
        <f>COUNT(Calculos!C2:C1000)</f>
        <v>36</v>
      </c>
    </row>
    <row r="9">
      <c r="A9" s="5" t="s">
        <v>19</v>
      </c>
      <c r="B9" s="9">
        <f>IFERROR(AVERAGE(Calculos!D2:D1000),0)</f>
        <v>19027.77778</v>
      </c>
    </row>
    <row r="10">
      <c r="A10" s="5" t="s">
        <v>20</v>
      </c>
      <c r="B10" s="9">
        <f>IFERROR(AVERAGE(Calculos!E2:E1000),0)</f>
        <v>20902.77778</v>
      </c>
    </row>
    <row r="11">
      <c r="A11" s="5" t="s">
        <v>21</v>
      </c>
      <c r="B11" s="9">
        <f>IFERROR(MEDIAN(Calculos!D2:D1000),0)</f>
        <v>15000</v>
      </c>
    </row>
    <row r="12">
      <c r="A12" s="5" t="s">
        <v>22</v>
      </c>
      <c r="B12" s="9">
        <f>IFERROR(MEDIAN(Calculos!E2:E1000),0)</f>
        <v>11250</v>
      </c>
    </row>
    <row r="13">
      <c r="A13" s="5" t="s">
        <v>23</v>
      </c>
      <c r="B13" s="9">
        <f>IFERROR(AVERAGE(Calculos!C2:C1000),0)</f>
        <v>1875</v>
      </c>
    </row>
    <row r="14">
      <c r="A14" s="5" t="s">
        <v>24</v>
      </c>
      <c r="B14" s="10">
        <f>IFERROR(AVERAGE(Calculos!C2:C1000)/AVERAGE(Calculos!E2:E1000),0)</f>
        <v>0.08970099668</v>
      </c>
    </row>
    <row r="15">
      <c r="A15" s="5" t="s">
        <v>25</v>
      </c>
      <c r="B15" s="7">
        <f>COUNTIF(Calculos!C2:C1000, "&gt;0")</f>
        <v>7</v>
      </c>
    </row>
    <row r="16">
      <c r="A16" s="5" t="s">
        <v>27</v>
      </c>
      <c r="B16" s="7">
        <f>COUNTIF(Calculos!C2:C1000, "=0")</f>
        <v>27</v>
      </c>
    </row>
    <row r="17">
      <c r="A17" s="5" t="s">
        <v>28</v>
      </c>
      <c r="B17" s="7">
        <f>COUNTIF(Calculos!C2:C1000, "&lt;0")</f>
        <v>2</v>
      </c>
    </row>
    <row r="18">
      <c r="A18" s="5" t="s">
        <v>29</v>
      </c>
      <c r="B18" s="10">
        <f>IFERROR(COUNTIF(Calculos!C2:C1000, "&gt;0")/COUNT(Calculos!C2:C1000),0)</f>
        <v>0.1944444444</v>
      </c>
    </row>
    <row r="19">
      <c r="A19" s="3" t="s">
        <v>33</v>
      </c>
    </row>
    <row r="22">
      <c r="A22" s="12" t="s">
        <v>35</v>
      </c>
    </row>
    <row r="24">
      <c r="A24" s="1" t="s">
        <v>38</v>
      </c>
    </row>
    <row r="25">
      <c r="A25" s="13" t="s">
        <v>40</v>
      </c>
      <c r="B25" s="13" t="s">
        <v>42</v>
      </c>
      <c r="C25" s="13" t="s">
        <v>43</v>
      </c>
    </row>
    <row r="26">
      <c r="A26" s="5" t="s">
        <v>44</v>
      </c>
      <c r="B26" s="7">
        <f t="shared" ref="B26:B27" si="1">COUNTIF(INDIRECT("'Respuestas de formulario 1'!B2:B"), $A26)</f>
        <v>38</v>
      </c>
      <c r="C26" s="10">
        <f t="shared" ref="C26:C27" si="2">IFERROR($B26/COUNTA(INDIRECT("'Respuestas de formulario 1'!B2:B")), 0)</f>
        <v>0.7755102041</v>
      </c>
    </row>
    <row r="27">
      <c r="A27" s="5" t="s">
        <v>52</v>
      </c>
      <c r="B27" s="7">
        <f t="shared" si="1"/>
        <v>11</v>
      </c>
      <c r="C27" s="10">
        <f t="shared" si="2"/>
        <v>0.2244897959</v>
      </c>
    </row>
    <row r="28">
      <c r="A28" s="14" t="s">
        <v>55</v>
      </c>
      <c r="B28" s="7">
        <f t="shared" ref="B28:C28" si="3">SUM(B26:B27)</f>
        <v>49</v>
      </c>
      <c r="C28" s="10">
        <f t="shared" si="3"/>
        <v>1</v>
      </c>
    </row>
    <row r="30">
      <c r="A30" s="1" t="s">
        <v>60</v>
      </c>
    </row>
    <row r="31">
      <c r="A31" s="13" t="s">
        <v>40</v>
      </c>
      <c r="B31" s="13" t="s">
        <v>42</v>
      </c>
      <c r="C31" s="13" t="s">
        <v>43</v>
      </c>
    </row>
    <row r="32">
      <c r="A32" s="5" t="s">
        <v>63</v>
      </c>
      <c r="B32" s="7">
        <f t="shared" ref="B32:B36" si="4">COUNTIF(INDIRECT("'Respuestas de formulario 1'!C2:C"), $A32)</f>
        <v>23</v>
      </c>
      <c r="C32" s="10">
        <f t="shared" ref="C32:C36" si="5">IFERROR($B32/COUNTA(INDIRECT("'Respuestas de formulario 1'!C2:C")), 0)</f>
        <v>0.6052631579</v>
      </c>
    </row>
    <row r="33">
      <c r="A33" s="5" t="s">
        <v>66</v>
      </c>
      <c r="B33" s="7">
        <f t="shared" si="4"/>
        <v>9</v>
      </c>
      <c r="C33" s="10">
        <f t="shared" si="5"/>
        <v>0.2368421053</v>
      </c>
    </row>
    <row r="34">
      <c r="A34" s="5" t="s">
        <v>67</v>
      </c>
      <c r="B34" s="7">
        <f t="shared" si="4"/>
        <v>5</v>
      </c>
      <c r="C34" s="10">
        <f t="shared" si="5"/>
        <v>0.1315789474</v>
      </c>
    </row>
    <row r="35">
      <c r="A35" s="5" t="s">
        <v>68</v>
      </c>
      <c r="B35" s="7">
        <f t="shared" si="4"/>
        <v>1</v>
      </c>
      <c r="C35" s="10">
        <f t="shared" si="5"/>
        <v>0.02631578947</v>
      </c>
    </row>
    <row r="36">
      <c r="A36" s="5" t="s">
        <v>70</v>
      </c>
      <c r="B36" s="7">
        <f t="shared" si="4"/>
        <v>0</v>
      </c>
      <c r="C36" s="10">
        <f t="shared" si="5"/>
        <v>0</v>
      </c>
    </row>
    <row r="37">
      <c r="A37" s="14" t="s">
        <v>55</v>
      </c>
      <c r="B37" s="7">
        <f t="shared" ref="B37:C37" si="6">SUM(B32:B36)</f>
        <v>38</v>
      </c>
      <c r="C37" s="10">
        <f t="shared" si="6"/>
        <v>1</v>
      </c>
    </row>
    <row r="39">
      <c r="A39" s="1" t="s">
        <v>73</v>
      </c>
    </row>
    <row r="40">
      <c r="A40" s="13" t="s">
        <v>40</v>
      </c>
      <c r="B40" s="13" t="s">
        <v>42</v>
      </c>
      <c r="C40" s="13" t="s">
        <v>43</v>
      </c>
    </row>
    <row r="41">
      <c r="A41" s="5" t="s">
        <v>74</v>
      </c>
      <c r="B41" s="7">
        <f t="shared" ref="B41:B51" si="7">COUNTIF(INDIRECT("'Respuestas de formulario 1'!D2:D"), "*"&amp;$A41&amp;"*")</f>
        <v>17</v>
      </c>
      <c r="C41" s="10">
        <f t="shared" ref="C41:C51" si="8">IFERROR($B41/COUNTA(INDIRECT("'Respuestas de formulario 1'!D2:D")), 0)</f>
        <v>0.4473684211</v>
      </c>
    </row>
    <row r="42">
      <c r="A42" s="5" t="s">
        <v>79</v>
      </c>
      <c r="B42" s="7">
        <f t="shared" si="7"/>
        <v>21</v>
      </c>
      <c r="C42" s="10">
        <f t="shared" si="8"/>
        <v>0.5526315789</v>
      </c>
    </row>
    <row r="43">
      <c r="A43" s="5" t="s">
        <v>82</v>
      </c>
      <c r="B43" s="7">
        <f t="shared" si="7"/>
        <v>9</v>
      </c>
      <c r="C43" s="10">
        <f t="shared" si="8"/>
        <v>0.2368421053</v>
      </c>
    </row>
    <row r="44">
      <c r="A44" s="5" t="s">
        <v>85</v>
      </c>
      <c r="B44" s="7">
        <f t="shared" si="7"/>
        <v>5</v>
      </c>
      <c r="C44" s="10">
        <f t="shared" si="8"/>
        <v>0.1315789474</v>
      </c>
    </row>
    <row r="45">
      <c r="A45" s="5" t="s">
        <v>87</v>
      </c>
      <c r="B45" s="7">
        <f t="shared" si="7"/>
        <v>7</v>
      </c>
      <c r="C45" s="10">
        <f t="shared" si="8"/>
        <v>0.1842105263</v>
      </c>
    </row>
    <row r="46">
      <c r="A46" s="5" t="s">
        <v>90</v>
      </c>
      <c r="B46" s="7">
        <f t="shared" si="7"/>
        <v>9</v>
      </c>
      <c r="C46" s="10">
        <f t="shared" si="8"/>
        <v>0.2368421053</v>
      </c>
    </row>
    <row r="47">
      <c r="A47" s="5" t="s">
        <v>91</v>
      </c>
      <c r="B47" s="7">
        <f t="shared" si="7"/>
        <v>10</v>
      </c>
      <c r="C47" s="10">
        <f t="shared" si="8"/>
        <v>0.2631578947</v>
      </c>
    </row>
    <row r="48">
      <c r="A48" s="5" t="s">
        <v>92</v>
      </c>
      <c r="B48" s="7">
        <f t="shared" si="7"/>
        <v>9</v>
      </c>
      <c r="C48" s="10">
        <f t="shared" si="8"/>
        <v>0.2368421053</v>
      </c>
    </row>
    <row r="49">
      <c r="A49" s="5" t="s">
        <v>93</v>
      </c>
      <c r="B49" s="7">
        <f t="shared" si="7"/>
        <v>3</v>
      </c>
      <c r="C49" s="10">
        <f t="shared" si="8"/>
        <v>0.07894736842</v>
      </c>
    </row>
    <row r="50">
      <c r="A50" s="5" t="s">
        <v>94</v>
      </c>
      <c r="B50" s="7">
        <f t="shared" si="7"/>
        <v>6</v>
      </c>
      <c r="C50" s="10">
        <f t="shared" si="8"/>
        <v>0.1578947368</v>
      </c>
    </row>
    <row r="51">
      <c r="A51" s="5" t="s">
        <v>95</v>
      </c>
      <c r="B51" s="7">
        <f t="shared" si="7"/>
        <v>5</v>
      </c>
      <c r="C51" s="10">
        <f t="shared" si="8"/>
        <v>0.1315789474</v>
      </c>
    </row>
    <row r="52">
      <c r="A52" s="14" t="s">
        <v>96</v>
      </c>
      <c r="B52" s="7">
        <f t="shared" ref="B52:C52" si="9">SUM(B41:B51)</f>
        <v>101</v>
      </c>
      <c r="C52" s="10">
        <f t="shared" si="9"/>
        <v>2.657894737</v>
      </c>
    </row>
    <row r="54">
      <c r="A54" s="1" t="s">
        <v>99</v>
      </c>
    </row>
    <row r="55">
      <c r="A55" s="13" t="s">
        <v>40</v>
      </c>
      <c r="B55" s="13" t="s">
        <v>42</v>
      </c>
      <c r="C55" s="13" t="s">
        <v>43</v>
      </c>
    </row>
    <row r="56">
      <c r="A56" s="5" t="s">
        <v>97</v>
      </c>
      <c r="B56" s="7">
        <f t="shared" ref="B56:B59" si="10">COUNTIF(INDIRECT("'Respuestas de formulario 1'!E2:E"), $A56)</f>
        <v>20</v>
      </c>
      <c r="C56" s="10">
        <f t="shared" ref="C56:C59" si="11">IFERROR($B56/COUNTA(INDIRECT("'Respuestas de formulario 1'!E2:E")), 0)</f>
        <v>0.5263157895</v>
      </c>
    </row>
    <row r="57">
      <c r="A57" s="5" t="s">
        <v>71</v>
      </c>
      <c r="B57" s="7">
        <f t="shared" si="10"/>
        <v>11</v>
      </c>
      <c r="C57" s="10">
        <f t="shared" si="11"/>
        <v>0.2894736842</v>
      </c>
    </row>
    <row r="58">
      <c r="A58" s="5" t="s">
        <v>104</v>
      </c>
      <c r="B58" s="7">
        <f t="shared" si="10"/>
        <v>5</v>
      </c>
      <c r="C58" s="10">
        <f t="shared" si="11"/>
        <v>0.1315789474</v>
      </c>
    </row>
    <row r="59">
      <c r="A59" s="5" t="s">
        <v>107</v>
      </c>
      <c r="B59" s="7">
        <f t="shared" si="10"/>
        <v>2</v>
      </c>
      <c r="C59" s="10">
        <f t="shared" si="11"/>
        <v>0.05263157895</v>
      </c>
    </row>
    <row r="60">
      <c r="A60" s="14" t="s">
        <v>55</v>
      </c>
      <c r="B60" s="7">
        <f t="shared" ref="B60:C60" si="12">SUM(B56:B59)</f>
        <v>38</v>
      </c>
      <c r="C60" s="10">
        <f t="shared" si="12"/>
        <v>1</v>
      </c>
    </row>
    <row r="62">
      <c r="A62" s="1" t="s">
        <v>110</v>
      </c>
    </row>
    <row r="63">
      <c r="A63" s="13" t="s">
        <v>40</v>
      </c>
      <c r="B63" s="13" t="s">
        <v>42</v>
      </c>
      <c r="C63" s="13" t="s">
        <v>43</v>
      </c>
    </row>
    <row r="64">
      <c r="A64" s="5" t="s">
        <v>7</v>
      </c>
      <c r="B64" s="7">
        <f t="shared" ref="B64:B69" si="13">COUNTIF(INDIRECT("'Respuestas de formulario 1'!F2:F"), $A64)</f>
        <v>17</v>
      </c>
      <c r="C64" s="10">
        <f t="shared" ref="C64:C69" si="14">IFERROR($B64/COUNTA(INDIRECT("'Respuestas de formulario 1'!F2:F")), 0)</f>
        <v>0.4473684211</v>
      </c>
    </row>
    <row r="65">
      <c r="A65" s="5" t="s">
        <v>11</v>
      </c>
      <c r="B65" s="7">
        <f t="shared" si="13"/>
        <v>8</v>
      </c>
      <c r="C65" s="10">
        <f t="shared" si="14"/>
        <v>0.2105263158</v>
      </c>
    </row>
    <row r="66">
      <c r="A66" s="5" t="s">
        <v>12</v>
      </c>
      <c r="B66" s="7">
        <f t="shared" si="13"/>
        <v>6</v>
      </c>
      <c r="C66" s="10">
        <f t="shared" si="14"/>
        <v>0.1578947368</v>
      </c>
    </row>
    <row r="67">
      <c r="A67" s="5" t="s">
        <v>13</v>
      </c>
      <c r="B67" s="7">
        <f t="shared" si="13"/>
        <v>4</v>
      </c>
      <c r="C67" s="10">
        <f t="shared" si="14"/>
        <v>0.1052631579</v>
      </c>
    </row>
    <row r="68">
      <c r="A68" s="5" t="s">
        <v>14</v>
      </c>
      <c r="B68" s="7">
        <f t="shared" si="13"/>
        <v>3</v>
      </c>
      <c r="C68" s="10">
        <f t="shared" si="14"/>
        <v>0.07894736842</v>
      </c>
    </row>
    <row r="69">
      <c r="A69" s="5" t="s">
        <v>15</v>
      </c>
      <c r="B69" s="7">
        <f t="shared" si="13"/>
        <v>0</v>
      </c>
      <c r="C69" s="10">
        <f t="shared" si="14"/>
        <v>0</v>
      </c>
    </row>
    <row r="70">
      <c r="A70" s="14" t="s">
        <v>55</v>
      </c>
      <c r="B70" s="7">
        <f t="shared" ref="B70:C70" si="15">SUM(B64:B69)</f>
        <v>38</v>
      </c>
      <c r="C70" s="10">
        <f t="shared" si="15"/>
        <v>1</v>
      </c>
    </row>
    <row r="72">
      <c r="A72" s="1" t="s">
        <v>116</v>
      </c>
    </row>
    <row r="73">
      <c r="A73" s="13" t="s">
        <v>40</v>
      </c>
      <c r="B73" s="13" t="s">
        <v>42</v>
      </c>
      <c r="C73" s="13" t="s">
        <v>43</v>
      </c>
    </row>
    <row r="74">
      <c r="A74" s="20">
        <v>1.0</v>
      </c>
      <c r="B74" s="7">
        <f t="shared" ref="B74:B78" si="16">COUNTIF(INDIRECT("'Respuestas de formulario 1'!G2:G"), $A74)</f>
        <v>2</v>
      </c>
      <c r="C74" s="10">
        <f t="shared" ref="C74:C78" si="17">IFERROR($B74/COUNTA(INDIRECT("'Respuestas de formulario 1'!G2:G")), 0)</f>
        <v>0.05263157895</v>
      </c>
    </row>
    <row r="75">
      <c r="A75" s="20">
        <v>2.0</v>
      </c>
      <c r="B75" s="7">
        <f t="shared" si="16"/>
        <v>1</v>
      </c>
      <c r="C75" s="10">
        <f t="shared" si="17"/>
        <v>0.02631578947</v>
      </c>
    </row>
    <row r="76">
      <c r="A76" s="20">
        <v>3.0</v>
      </c>
      <c r="B76" s="7">
        <f t="shared" si="16"/>
        <v>6</v>
      </c>
      <c r="C76" s="10">
        <f t="shared" si="17"/>
        <v>0.1578947368</v>
      </c>
    </row>
    <row r="77">
      <c r="A77" s="20">
        <v>4.0</v>
      </c>
      <c r="B77" s="7">
        <f t="shared" si="16"/>
        <v>8</v>
      </c>
      <c r="C77" s="10">
        <f t="shared" si="17"/>
        <v>0.2105263158</v>
      </c>
    </row>
    <row r="78">
      <c r="A78" s="20">
        <v>5.0</v>
      </c>
      <c r="B78" s="7">
        <f t="shared" si="16"/>
        <v>21</v>
      </c>
      <c r="C78" s="10">
        <f t="shared" si="17"/>
        <v>0.5526315789</v>
      </c>
    </row>
    <row r="79">
      <c r="A79" s="14" t="s">
        <v>55</v>
      </c>
      <c r="B79" s="7">
        <f t="shared" ref="B79:C79" si="18">SUM(B74:B78)</f>
        <v>38</v>
      </c>
      <c r="C79" s="10">
        <f t="shared" si="18"/>
        <v>1</v>
      </c>
    </row>
    <row r="80">
      <c r="A80" s="14" t="s">
        <v>121</v>
      </c>
      <c r="B80" s="21">
        <f t="array" ref="B80">IFERROR(AVERAGE(INDIRECT("'Respuestas de formulario 1'!G2:G")),0)</f>
        <v>4.184210526</v>
      </c>
    </row>
    <row r="81">
      <c r="A81" s="14" t="s">
        <v>125</v>
      </c>
      <c r="B81" s="21">
        <f t="array" ref="B81">IFERROR(STDEV(INDIRECT("'Respuestas de formulario 1'!G2:G")),0)</f>
        <v>1.135549948</v>
      </c>
    </row>
    <row r="83">
      <c r="A83" s="1" t="s">
        <v>126</v>
      </c>
    </row>
    <row r="84">
      <c r="A84" s="13" t="s">
        <v>40</v>
      </c>
      <c r="B84" s="13" t="s">
        <v>42</v>
      </c>
      <c r="C84" s="13" t="s">
        <v>43</v>
      </c>
    </row>
    <row r="85">
      <c r="A85" s="5" t="s">
        <v>122</v>
      </c>
      <c r="B85" s="7">
        <f t="shared" ref="B85:B87" si="19">COUNTIF(INDIRECT("'Respuestas de formulario 1'!H2:H"), $A85)</f>
        <v>17</v>
      </c>
      <c r="C85" s="10">
        <f t="shared" ref="C85:C87" si="20">IFERROR($B85/COUNTA(INDIRECT("'Respuestas de formulario 1'!H2:H")), 0)</f>
        <v>0.4473684211</v>
      </c>
    </row>
    <row r="86">
      <c r="A86" s="5" t="s">
        <v>98</v>
      </c>
      <c r="B86" s="7">
        <f t="shared" si="19"/>
        <v>3</v>
      </c>
      <c r="C86" s="10">
        <f t="shared" si="20"/>
        <v>0.07894736842</v>
      </c>
    </row>
    <row r="87">
      <c r="A87" s="5" t="s">
        <v>72</v>
      </c>
      <c r="B87" s="7">
        <f t="shared" si="19"/>
        <v>18</v>
      </c>
      <c r="C87" s="10">
        <f t="shared" si="20"/>
        <v>0.4736842105</v>
      </c>
    </row>
    <row r="88">
      <c r="A88" s="14" t="s">
        <v>55</v>
      </c>
      <c r="B88" s="7">
        <f t="shared" ref="B88:C88" si="21">SUM(B85:B87)</f>
        <v>38</v>
      </c>
      <c r="C88" s="10">
        <f t="shared" si="21"/>
        <v>1</v>
      </c>
    </row>
    <row r="90">
      <c r="A90" s="1" t="s">
        <v>129</v>
      </c>
    </row>
    <row r="91">
      <c r="A91" s="13" t="s">
        <v>40</v>
      </c>
      <c r="B91" s="13" t="s">
        <v>42</v>
      </c>
      <c r="C91" s="13" t="s">
        <v>43</v>
      </c>
    </row>
    <row r="92">
      <c r="A92" s="5" t="s">
        <v>7</v>
      </c>
      <c r="B92" s="7">
        <f t="shared" ref="B92:B97" si="22">COUNTIF(INDIRECT("'Respuestas de formulario 1'!I2:I"), $A92)</f>
        <v>18</v>
      </c>
      <c r="C92" s="10">
        <f t="shared" ref="C92:C97" si="23">IFERROR($B92/COUNTA(INDIRECT("'Respuestas de formulario 1'!I2:I")), 0)</f>
        <v>0.5</v>
      </c>
    </row>
    <row r="93">
      <c r="A93" s="5" t="s">
        <v>11</v>
      </c>
      <c r="B93" s="7">
        <f t="shared" si="22"/>
        <v>7</v>
      </c>
      <c r="C93" s="10">
        <f t="shared" si="23"/>
        <v>0.1944444444</v>
      </c>
    </row>
    <row r="94">
      <c r="A94" s="5" t="s">
        <v>12</v>
      </c>
      <c r="B94" s="7">
        <f t="shared" si="22"/>
        <v>5</v>
      </c>
      <c r="C94" s="10">
        <f t="shared" si="23"/>
        <v>0.1388888889</v>
      </c>
    </row>
    <row r="95">
      <c r="A95" s="5" t="s">
        <v>13</v>
      </c>
      <c r="B95" s="7">
        <f t="shared" si="22"/>
        <v>2</v>
      </c>
      <c r="C95" s="10">
        <f t="shared" si="23"/>
        <v>0.05555555556</v>
      </c>
    </row>
    <row r="96">
      <c r="A96" s="5" t="s">
        <v>14</v>
      </c>
      <c r="B96" s="7">
        <f t="shared" si="22"/>
        <v>3</v>
      </c>
      <c r="C96" s="10">
        <f t="shared" si="23"/>
        <v>0.08333333333</v>
      </c>
    </row>
    <row r="97">
      <c r="A97" s="5" t="s">
        <v>15</v>
      </c>
      <c r="B97" s="7">
        <f t="shared" si="22"/>
        <v>1</v>
      </c>
      <c r="C97" s="10">
        <f t="shared" si="23"/>
        <v>0.02777777778</v>
      </c>
    </row>
    <row r="98">
      <c r="A98" s="14" t="s">
        <v>55</v>
      </c>
      <c r="B98" s="7">
        <f t="shared" ref="B98:C98" si="24">SUM(B92:B97)</f>
        <v>36</v>
      </c>
      <c r="C98" s="10">
        <f t="shared" si="24"/>
        <v>1</v>
      </c>
    </row>
    <row r="100">
      <c r="A100" s="1" t="s">
        <v>135</v>
      </c>
    </row>
    <row r="101">
      <c r="A101" s="13" t="s">
        <v>40</v>
      </c>
      <c r="B101" s="13" t="s">
        <v>42</v>
      </c>
      <c r="C101" s="13" t="s">
        <v>43</v>
      </c>
    </row>
    <row r="102">
      <c r="A102" s="5" t="s">
        <v>75</v>
      </c>
      <c r="B102" s="7">
        <f t="shared" ref="B102:B105" si="25">COUNTIF(INDIRECT("'Respuestas de formulario 1'!J2:J"), $A102)</f>
        <v>14</v>
      </c>
      <c r="C102" s="10">
        <f t="shared" ref="C102:C105" si="26">IFERROR($B102/COUNTA(INDIRECT("'Respuestas de formulario 1'!J2:J")), 0)</f>
        <v>0.3684210526</v>
      </c>
    </row>
    <row r="103">
      <c r="A103" s="5" t="s">
        <v>123</v>
      </c>
      <c r="B103" s="7">
        <f t="shared" si="25"/>
        <v>12</v>
      </c>
      <c r="C103" s="10">
        <f t="shared" si="26"/>
        <v>0.3157894737</v>
      </c>
    </row>
    <row r="104">
      <c r="A104" s="5" t="s">
        <v>100</v>
      </c>
      <c r="B104" s="7">
        <f t="shared" si="25"/>
        <v>10</v>
      </c>
      <c r="C104" s="10">
        <f t="shared" si="26"/>
        <v>0.2631578947</v>
      </c>
    </row>
    <row r="105">
      <c r="A105" s="5" t="s">
        <v>139</v>
      </c>
      <c r="B105" s="7">
        <f t="shared" si="25"/>
        <v>2</v>
      </c>
      <c r="C105" s="10">
        <f t="shared" si="26"/>
        <v>0.05263157895</v>
      </c>
    </row>
    <row r="106">
      <c r="A106" s="14" t="s">
        <v>55</v>
      </c>
      <c r="B106" s="7">
        <f t="shared" ref="B106:C106" si="27">SUM(B102:B105)</f>
        <v>38</v>
      </c>
      <c r="C106" s="10">
        <f t="shared" si="27"/>
        <v>1</v>
      </c>
    </row>
    <row r="108">
      <c r="A108" s="1" t="s">
        <v>140</v>
      </c>
    </row>
    <row r="109">
      <c r="A109" s="13" t="s">
        <v>40</v>
      </c>
      <c r="B109" s="13" t="s">
        <v>42</v>
      </c>
      <c r="C109" s="13" t="s">
        <v>43</v>
      </c>
    </row>
    <row r="110">
      <c r="A110" s="5" t="s">
        <v>124</v>
      </c>
      <c r="B110" s="7">
        <f t="shared" ref="B110:B115" si="28">COUNTIF(INDIRECT("'Respuestas de formulario 1'!K2:K"), $A110)</f>
        <v>11</v>
      </c>
      <c r="C110" s="10">
        <f t="shared" ref="C110:C115" si="29">IFERROR($B110/COUNTA(INDIRECT("'Respuestas de formulario 1'!K2:K")), 0)</f>
        <v>0.2894736842</v>
      </c>
    </row>
    <row r="111">
      <c r="A111" s="5" t="s">
        <v>76</v>
      </c>
      <c r="B111" s="7">
        <f t="shared" si="28"/>
        <v>12</v>
      </c>
      <c r="C111" s="10">
        <f t="shared" si="29"/>
        <v>0.3157894737</v>
      </c>
    </row>
    <row r="112">
      <c r="A112" s="5" t="s">
        <v>143</v>
      </c>
      <c r="B112" s="7">
        <f t="shared" si="28"/>
        <v>2</v>
      </c>
      <c r="C112" s="10">
        <f t="shared" si="29"/>
        <v>0.05263157895</v>
      </c>
    </row>
    <row r="113">
      <c r="A113" s="5" t="s">
        <v>131</v>
      </c>
      <c r="B113" s="7">
        <f t="shared" si="28"/>
        <v>2</v>
      </c>
      <c r="C113" s="10">
        <f t="shared" si="29"/>
        <v>0.05263157895</v>
      </c>
    </row>
    <row r="114">
      <c r="A114" s="5" t="s">
        <v>146</v>
      </c>
      <c r="B114" s="7">
        <f t="shared" si="28"/>
        <v>0</v>
      </c>
      <c r="C114" s="10">
        <f t="shared" si="29"/>
        <v>0</v>
      </c>
    </row>
    <row r="115">
      <c r="A115" s="5" t="s">
        <v>101</v>
      </c>
      <c r="B115" s="7">
        <f t="shared" si="28"/>
        <v>11</v>
      </c>
      <c r="C115" s="10">
        <f t="shared" si="29"/>
        <v>0.2894736842</v>
      </c>
    </row>
    <row r="116">
      <c r="A116" s="14" t="s">
        <v>55</v>
      </c>
      <c r="B116" s="7">
        <f t="shared" ref="B116:C116" si="30">SUM(B110:B115)</f>
        <v>38</v>
      </c>
      <c r="C116" s="10">
        <f t="shared" si="30"/>
        <v>1</v>
      </c>
    </row>
    <row r="118">
      <c r="A118" s="1" t="s">
        <v>148</v>
      </c>
    </row>
    <row r="119">
      <c r="A119" s="13" t="s">
        <v>40</v>
      </c>
      <c r="B119" s="13" t="s">
        <v>42</v>
      </c>
      <c r="C119" s="13" t="s">
        <v>43</v>
      </c>
    </row>
    <row r="120">
      <c r="A120" s="5" t="s">
        <v>102</v>
      </c>
      <c r="B120" s="7">
        <f t="shared" ref="B120:B124" si="31">COUNTIF(INDIRECT("'Respuestas de formulario 1'!L2:L"), $A120)</f>
        <v>23</v>
      </c>
      <c r="C120" s="10">
        <f t="shared" ref="C120:C124" si="32">IFERROR($B120/COUNTA(INDIRECT("'Respuestas de formulario 1'!L2:L")), 0)</f>
        <v>0.6052631579</v>
      </c>
    </row>
    <row r="121">
      <c r="A121" s="5">
        <v>1.0</v>
      </c>
      <c r="B121" s="7">
        <f t="shared" si="31"/>
        <v>9</v>
      </c>
      <c r="C121" s="10">
        <f t="shared" si="32"/>
        <v>0.2368421053</v>
      </c>
    </row>
    <row r="122">
      <c r="A122" s="5">
        <v>2.0</v>
      </c>
      <c r="B122" s="7">
        <f t="shared" si="31"/>
        <v>4</v>
      </c>
      <c r="C122" s="10">
        <f t="shared" si="32"/>
        <v>0.1052631579</v>
      </c>
    </row>
    <row r="123">
      <c r="A123" s="5">
        <v>3.0</v>
      </c>
      <c r="B123" s="7">
        <f t="shared" si="31"/>
        <v>1</v>
      </c>
      <c r="C123" s="10">
        <f t="shared" si="32"/>
        <v>0.02631578947</v>
      </c>
    </row>
    <row r="124">
      <c r="A124" s="5" t="s">
        <v>150</v>
      </c>
      <c r="B124" s="7">
        <f t="shared" si="31"/>
        <v>1</v>
      </c>
      <c r="C124" s="10">
        <f t="shared" si="32"/>
        <v>0.02631578947</v>
      </c>
    </row>
    <row r="125">
      <c r="A125" s="14" t="s">
        <v>55</v>
      </c>
      <c r="B125" s="7">
        <f t="shared" ref="B125:C125" si="33">SUM(B120:B124)</f>
        <v>38</v>
      </c>
      <c r="C125" s="10">
        <f t="shared" si="33"/>
        <v>1</v>
      </c>
    </row>
    <row r="127">
      <c r="A127" s="1" t="s">
        <v>153</v>
      </c>
    </row>
    <row r="128">
      <c r="A128" s="13" t="s">
        <v>40</v>
      </c>
      <c r="B128" s="13" t="s">
        <v>42</v>
      </c>
      <c r="C128" s="13" t="s">
        <v>43</v>
      </c>
    </row>
    <row r="129">
      <c r="A129" s="5" t="s">
        <v>103</v>
      </c>
      <c r="B129" s="7">
        <f t="shared" ref="B129:B133" si="34">COUNTIF(INDIRECT("'Respuestas de formulario 1'!M2:M"), $A129)</f>
        <v>23</v>
      </c>
      <c r="C129" s="10">
        <f t="shared" ref="C129:C133" si="35">IFERROR($B129/COUNTA(INDIRECT("'Respuestas de formulario 1'!M2:M")), 0)</f>
        <v>0.6052631579</v>
      </c>
    </row>
    <row r="130">
      <c r="A130" s="5" t="s">
        <v>77</v>
      </c>
      <c r="B130" s="7">
        <f t="shared" si="34"/>
        <v>10</v>
      </c>
      <c r="C130" s="10">
        <f t="shared" si="35"/>
        <v>0.2631578947</v>
      </c>
    </row>
    <row r="131">
      <c r="A131" s="5" t="s">
        <v>149</v>
      </c>
      <c r="B131" s="7">
        <f t="shared" si="34"/>
        <v>3</v>
      </c>
      <c r="C131" s="10">
        <f t="shared" si="35"/>
        <v>0.07894736842</v>
      </c>
    </row>
    <row r="132">
      <c r="A132" s="5" t="s">
        <v>157</v>
      </c>
      <c r="B132" s="7">
        <f t="shared" si="34"/>
        <v>0</v>
      </c>
      <c r="C132" s="10">
        <f t="shared" si="35"/>
        <v>0</v>
      </c>
    </row>
    <row r="133">
      <c r="A133" s="5" t="s">
        <v>158</v>
      </c>
      <c r="B133" s="7">
        <f t="shared" si="34"/>
        <v>2</v>
      </c>
      <c r="C133" s="10">
        <f t="shared" si="35"/>
        <v>0.05263157895</v>
      </c>
    </row>
    <row r="134">
      <c r="A134" s="14" t="s">
        <v>55</v>
      </c>
      <c r="B134" s="7">
        <f t="shared" ref="B134:C134" si="36">SUM(B129:B133)</f>
        <v>38</v>
      </c>
      <c r="C134" s="10">
        <f t="shared" si="36"/>
        <v>1</v>
      </c>
    </row>
    <row r="136">
      <c r="A136" s="1" t="s">
        <v>159</v>
      </c>
    </row>
    <row r="137">
      <c r="A137" s="13" t="s">
        <v>40</v>
      </c>
      <c r="B137" s="13" t="s">
        <v>42</v>
      </c>
      <c r="C137" s="13" t="s">
        <v>43</v>
      </c>
    </row>
    <row r="138">
      <c r="A138" s="5" t="s">
        <v>78</v>
      </c>
      <c r="B138" s="7">
        <f t="shared" ref="B138:B141" si="37">COUNTIF(INDIRECT("'Respuestas de formulario 1'!N2:N"), $A138)</f>
        <v>17</v>
      </c>
      <c r="C138" s="10">
        <f t="shared" ref="C138:C141" si="38">IFERROR($B138/COUNTA(INDIRECT("'Respuestas de formulario 1'!N2:N")), 0)</f>
        <v>0.4473684211</v>
      </c>
    </row>
    <row r="139">
      <c r="A139" s="5" t="s">
        <v>123</v>
      </c>
      <c r="B139" s="7">
        <f t="shared" si="37"/>
        <v>8</v>
      </c>
      <c r="C139" s="10">
        <f t="shared" si="38"/>
        <v>0.2105263158</v>
      </c>
    </row>
    <row r="140">
      <c r="A140" s="5" t="s">
        <v>100</v>
      </c>
      <c r="B140" s="7">
        <f t="shared" si="37"/>
        <v>10</v>
      </c>
      <c r="C140" s="10">
        <f t="shared" si="38"/>
        <v>0.2631578947</v>
      </c>
    </row>
    <row r="141">
      <c r="A141" s="5" t="s">
        <v>141</v>
      </c>
      <c r="B141" s="7">
        <f t="shared" si="37"/>
        <v>3</v>
      </c>
      <c r="C141" s="10">
        <f t="shared" si="38"/>
        <v>0.07894736842</v>
      </c>
    </row>
    <row r="142">
      <c r="A142" s="14" t="s">
        <v>55</v>
      </c>
      <c r="B142" s="7">
        <f t="shared" ref="B142:C142" si="39">SUM(B138:B141)</f>
        <v>38</v>
      </c>
      <c r="C142" s="10">
        <f t="shared" si="39"/>
        <v>1</v>
      </c>
    </row>
    <row r="144">
      <c r="A144" s="1" t="s">
        <v>164</v>
      </c>
    </row>
    <row r="145">
      <c r="A145" s="13" t="s">
        <v>40</v>
      </c>
      <c r="B145" s="13" t="s">
        <v>42</v>
      </c>
      <c r="C145" s="13" t="s">
        <v>43</v>
      </c>
    </row>
    <row r="146">
      <c r="A146" s="5" t="s">
        <v>44</v>
      </c>
      <c r="B146" s="7">
        <f t="shared" ref="B146:B147" si="40">COUNTIF(INDIRECT("'Respuestas de formulario 1'!O2:O"), $A146)</f>
        <v>14</v>
      </c>
      <c r="C146" s="10">
        <f t="shared" ref="C146:C147" si="41">IFERROR($B146/COUNTA(INDIRECT("'Respuestas de formulario 1'!O2:O")), 0)</f>
        <v>0.3684210526</v>
      </c>
    </row>
    <row r="147">
      <c r="A147" s="5" t="s">
        <v>52</v>
      </c>
      <c r="B147" s="7">
        <f t="shared" si="40"/>
        <v>24</v>
      </c>
      <c r="C147" s="10">
        <f t="shared" si="41"/>
        <v>0.6315789474</v>
      </c>
    </row>
    <row r="148">
      <c r="A148" s="14" t="s">
        <v>55</v>
      </c>
      <c r="B148" s="7">
        <f t="shared" ref="B148:C148" si="42">SUM(B146:B147)</f>
        <v>38</v>
      </c>
      <c r="C148" s="10">
        <f t="shared" si="42"/>
        <v>1</v>
      </c>
    </row>
    <row r="150">
      <c r="A150" s="1" t="s">
        <v>165</v>
      </c>
    </row>
    <row r="151">
      <c r="A151" s="13" t="s">
        <v>40</v>
      </c>
      <c r="B151" s="13" t="s">
        <v>42</v>
      </c>
      <c r="C151" s="13" t="s">
        <v>43</v>
      </c>
    </row>
    <row r="152">
      <c r="A152" s="20">
        <v>1.0</v>
      </c>
      <c r="B152" s="7">
        <f t="shared" ref="B152:B156" si="43">COUNTIF(INDIRECT("'Respuestas de formulario 1'!P2:P"), $A152)</f>
        <v>9</v>
      </c>
      <c r="C152" s="10">
        <f t="shared" ref="C152:C156" si="44">IFERROR($B152/COUNTA(INDIRECT("'Respuestas de formulario 1'!P2:P")), 0)</f>
        <v>0.2368421053</v>
      </c>
    </row>
    <row r="153">
      <c r="A153" s="20">
        <v>2.0</v>
      </c>
      <c r="B153" s="7">
        <f t="shared" si="43"/>
        <v>6</v>
      </c>
      <c r="C153" s="10">
        <f t="shared" si="44"/>
        <v>0.1578947368</v>
      </c>
    </row>
    <row r="154">
      <c r="A154" s="20">
        <v>3.0</v>
      </c>
      <c r="B154" s="7">
        <f t="shared" si="43"/>
        <v>14</v>
      </c>
      <c r="C154" s="10">
        <f t="shared" si="44"/>
        <v>0.3684210526</v>
      </c>
    </row>
    <row r="155">
      <c r="A155" s="20">
        <v>4.0</v>
      </c>
      <c r="B155" s="7">
        <f t="shared" si="43"/>
        <v>6</v>
      </c>
      <c r="C155" s="10">
        <f t="shared" si="44"/>
        <v>0.1578947368</v>
      </c>
    </row>
    <row r="156">
      <c r="A156" s="20">
        <v>5.0</v>
      </c>
      <c r="B156" s="7">
        <f t="shared" si="43"/>
        <v>3</v>
      </c>
      <c r="C156" s="10">
        <f t="shared" si="44"/>
        <v>0.07894736842</v>
      </c>
    </row>
    <row r="157">
      <c r="A157" s="14" t="s">
        <v>55</v>
      </c>
      <c r="B157" s="7">
        <f t="shared" ref="B157:C157" si="45">SUM(B152:B156)</f>
        <v>38</v>
      </c>
      <c r="C157" s="10">
        <f t="shared" si="45"/>
        <v>1</v>
      </c>
    </row>
    <row r="158">
      <c r="A158" s="14" t="s">
        <v>121</v>
      </c>
      <c r="B158" s="21">
        <f t="array" ref="B158">IFERROR(AVERAGE(INDIRECT("'Respuestas de formulario 1'!P2:P")),0)</f>
        <v>2.684210526</v>
      </c>
    </row>
    <row r="159">
      <c r="A159" s="14" t="s">
        <v>125</v>
      </c>
      <c r="B159" s="21">
        <f t="array" ref="B159">IFERROR(STDEV(INDIRECT("'Respuestas de formulario 1'!P2:P")),0)</f>
        <v>1.2325597</v>
      </c>
    </row>
    <row r="161">
      <c r="A161" s="1" t="s">
        <v>167</v>
      </c>
    </row>
    <row r="162">
      <c r="A162" s="13" t="s">
        <v>40</v>
      </c>
      <c r="B162" s="13" t="s">
        <v>42</v>
      </c>
      <c r="C162" s="13" t="s">
        <v>43</v>
      </c>
    </row>
    <row r="163">
      <c r="A163" s="5" t="s">
        <v>44</v>
      </c>
      <c r="B163" s="7">
        <f t="shared" ref="B163:B164" si="46">COUNTIF(INDIRECT("'Respuestas de formulario 1'!Q2:Q"), $A163)</f>
        <v>22</v>
      </c>
      <c r="C163" s="10">
        <f t="shared" ref="C163:C164" si="47">IFERROR($B163/COUNTA(INDIRECT("'Respuestas de formulario 1'!Q2:Q")), 0)</f>
        <v>0.5789473684</v>
      </c>
    </row>
    <row r="164">
      <c r="A164" s="5" t="s">
        <v>52</v>
      </c>
      <c r="B164" s="7">
        <f t="shared" si="46"/>
        <v>16</v>
      </c>
      <c r="C164" s="10">
        <f t="shared" si="47"/>
        <v>0.4210526316</v>
      </c>
    </row>
    <row r="165">
      <c r="A165" s="14" t="s">
        <v>55</v>
      </c>
      <c r="B165" s="7">
        <f t="shared" ref="B165:C165" si="48">SUM(B163:B164)</f>
        <v>38</v>
      </c>
      <c r="C165" s="10">
        <f t="shared" si="48"/>
        <v>1</v>
      </c>
    </row>
    <row r="167">
      <c r="A167" s="1" t="s">
        <v>169</v>
      </c>
    </row>
    <row r="168">
      <c r="A168" s="13" t="s">
        <v>40</v>
      </c>
      <c r="B168" s="13" t="s">
        <v>42</v>
      </c>
      <c r="C168" s="13" t="s">
        <v>43</v>
      </c>
    </row>
    <row r="169">
      <c r="A169" s="5" t="s">
        <v>114</v>
      </c>
      <c r="B169" s="7">
        <f t="shared" ref="B169:B172" si="49">COUNTIF(INDIRECT("'Respuestas de formulario 1'!R2:R"), $A169)</f>
        <v>18</v>
      </c>
      <c r="C169" s="10">
        <f t="shared" ref="C169:C172" si="50">IFERROR($B169/COUNTA(INDIRECT("'Respuestas de formulario 1'!R2:R")), 0)</f>
        <v>0.4736842105</v>
      </c>
    </row>
    <row r="170">
      <c r="A170" s="5" t="s">
        <v>170</v>
      </c>
      <c r="B170" s="7">
        <f t="shared" si="49"/>
        <v>6</v>
      </c>
      <c r="C170" s="10">
        <f t="shared" si="50"/>
        <v>0.1578947368</v>
      </c>
    </row>
    <row r="171">
      <c r="A171" s="5" t="s">
        <v>171</v>
      </c>
      <c r="B171" s="7">
        <f t="shared" si="49"/>
        <v>1</v>
      </c>
      <c r="C171" s="10">
        <f t="shared" si="50"/>
        <v>0.02631578947</v>
      </c>
    </row>
    <row r="172">
      <c r="A172" s="5" t="s">
        <v>80</v>
      </c>
      <c r="B172" s="7">
        <f t="shared" si="49"/>
        <v>13</v>
      </c>
      <c r="C172" s="10">
        <f t="shared" si="50"/>
        <v>0.3421052632</v>
      </c>
    </row>
    <row r="173">
      <c r="A173" s="14" t="s">
        <v>55</v>
      </c>
      <c r="B173" s="7">
        <f t="shared" ref="B173:C173" si="51">SUM(B169:B172)</f>
        <v>38</v>
      </c>
      <c r="C173" s="10">
        <f t="shared" si="51"/>
        <v>1</v>
      </c>
    </row>
    <row r="175">
      <c r="A175" s="1" t="s">
        <v>173</v>
      </c>
    </row>
    <row r="176">
      <c r="A176" s="13" t="s">
        <v>40</v>
      </c>
      <c r="B176" s="13" t="s">
        <v>42</v>
      </c>
      <c r="C176" s="13" t="s">
        <v>43</v>
      </c>
    </row>
    <row r="177">
      <c r="A177" s="5" t="s">
        <v>81</v>
      </c>
      <c r="B177" s="7">
        <f t="shared" ref="B177:B181" si="52">COUNTIF(INDIRECT("'Respuestas de formulario 1'!S2:S"), $A177)</f>
        <v>12</v>
      </c>
      <c r="C177" s="10">
        <f t="shared" ref="C177:C181" si="53">IFERROR($B177/COUNTA(INDIRECT("'Respuestas de formulario 1'!S2:S")), 0)</f>
        <v>0.3157894737</v>
      </c>
    </row>
    <row r="178">
      <c r="A178" s="5" t="s">
        <v>105</v>
      </c>
      <c r="B178" s="7">
        <f t="shared" si="52"/>
        <v>13</v>
      </c>
      <c r="C178" s="10">
        <f t="shared" si="53"/>
        <v>0.3421052632</v>
      </c>
    </row>
    <row r="179">
      <c r="A179" s="5" t="s">
        <v>115</v>
      </c>
      <c r="B179" s="7">
        <f t="shared" si="52"/>
        <v>4</v>
      </c>
      <c r="C179" s="10">
        <f t="shared" si="53"/>
        <v>0.1052631579</v>
      </c>
    </row>
    <row r="180">
      <c r="A180" s="5" t="s">
        <v>132</v>
      </c>
      <c r="B180" s="7">
        <f t="shared" si="52"/>
        <v>7</v>
      </c>
      <c r="C180" s="10">
        <f t="shared" si="53"/>
        <v>0.1842105263</v>
      </c>
    </row>
    <row r="181">
      <c r="A181" s="5" t="s">
        <v>178</v>
      </c>
      <c r="B181" s="7">
        <f t="shared" si="52"/>
        <v>2</v>
      </c>
      <c r="C181" s="10">
        <f t="shared" si="53"/>
        <v>0.05263157895</v>
      </c>
    </row>
    <row r="182">
      <c r="A182" s="14" t="s">
        <v>55</v>
      </c>
      <c r="B182" s="7">
        <f t="shared" ref="B182:C182" si="54">SUM(B177:B181)</f>
        <v>38</v>
      </c>
      <c r="C182" s="10">
        <f t="shared" si="54"/>
        <v>1</v>
      </c>
    </row>
    <row r="184">
      <c r="A184" s="1" t="s">
        <v>179</v>
      </c>
    </row>
    <row r="185">
      <c r="A185" s="13" t="s">
        <v>40</v>
      </c>
      <c r="B185" s="13" t="s">
        <v>42</v>
      </c>
      <c r="C185" s="13" t="s">
        <v>43</v>
      </c>
    </row>
    <row r="186">
      <c r="A186" s="5" t="s">
        <v>160</v>
      </c>
      <c r="B186" s="7">
        <f t="shared" ref="B186:B192" si="55">COUNTIF(INDIRECT("'Respuestas de formulario 1'!T2:T"), "*"&amp;$A186&amp;"*")</f>
        <v>13</v>
      </c>
      <c r="C186" s="10">
        <f t="shared" ref="C186:C192" si="56">IFERROR($B186/COUNTA(INDIRECT("'Respuestas de formulario 1'!T2:T")), 0)</f>
        <v>0.3421052632</v>
      </c>
    </row>
    <row r="187">
      <c r="A187" s="5" t="s">
        <v>106</v>
      </c>
      <c r="B187" s="7">
        <f t="shared" si="55"/>
        <v>29</v>
      </c>
      <c r="C187" s="10">
        <f t="shared" si="56"/>
        <v>0.7631578947</v>
      </c>
    </row>
    <row r="188">
      <c r="A188" s="5" t="s">
        <v>180</v>
      </c>
      <c r="B188" s="7">
        <f t="shared" si="55"/>
        <v>23</v>
      </c>
      <c r="C188" s="10">
        <f t="shared" si="56"/>
        <v>0.6052631579</v>
      </c>
    </row>
    <row r="189">
      <c r="A189" s="5" t="s">
        <v>181</v>
      </c>
      <c r="B189" s="7">
        <f t="shared" si="55"/>
        <v>9</v>
      </c>
      <c r="C189" s="10">
        <f t="shared" si="56"/>
        <v>0.2368421053</v>
      </c>
    </row>
    <row r="190">
      <c r="A190" s="5" t="s">
        <v>182</v>
      </c>
      <c r="B190" s="7">
        <f t="shared" si="55"/>
        <v>8</v>
      </c>
      <c r="C190" s="10">
        <f t="shared" si="56"/>
        <v>0.2105263158</v>
      </c>
    </row>
    <row r="191">
      <c r="A191" s="5" t="s">
        <v>183</v>
      </c>
      <c r="B191" s="7">
        <f t="shared" si="55"/>
        <v>5</v>
      </c>
      <c r="C191" s="10">
        <f t="shared" si="56"/>
        <v>0.1315789474</v>
      </c>
    </row>
    <row r="192">
      <c r="A192" s="5" t="s">
        <v>184</v>
      </c>
      <c r="B192" s="7">
        <f t="shared" si="55"/>
        <v>2</v>
      </c>
      <c r="C192" s="10">
        <f t="shared" si="56"/>
        <v>0.05263157895</v>
      </c>
    </row>
    <row r="193">
      <c r="A193" s="14" t="s">
        <v>96</v>
      </c>
      <c r="B193" s="7">
        <f t="shared" ref="B193:C193" si="57">SUM(B186:B192)</f>
        <v>89</v>
      </c>
      <c r="C193" s="10">
        <f t="shared" si="57"/>
        <v>2.342105263</v>
      </c>
    </row>
    <row r="195">
      <c r="A195" s="1" t="s">
        <v>185</v>
      </c>
    </row>
    <row r="196">
      <c r="A196" s="13" t="s">
        <v>40</v>
      </c>
      <c r="B196" s="13" t="s">
        <v>42</v>
      </c>
      <c r="C196" s="13" t="s">
        <v>43</v>
      </c>
    </row>
    <row r="197">
      <c r="A197" s="5" t="s">
        <v>152</v>
      </c>
      <c r="B197" s="7">
        <f t="shared" ref="B197:B201" si="58">COUNTIF(INDIRECT("'Respuestas de formulario 1'!U2:U"), $A197)</f>
        <v>10</v>
      </c>
      <c r="C197" s="10">
        <f t="shared" ref="C197:C201" si="59">IFERROR($B197/COUNTA(INDIRECT("'Respuestas de formulario 1'!U2:U")), 0)</f>
        <v>0.2631578947</v>
      </c>
    </row>
    <row r="198">
      <c r="A198" s="5" t="s">
        <v>108</v>
      </c>
      <c r="B198" s="7">
        <f t="shared" si="58"/>
        <v>6</v>
      </c>
      <c r="C198" s="10">
        <f t="shared" si="59"/>
        <v>0.1578947368</v>
      </c>
    </row>
    <row r="199">
      <c r="A199" s="5" t="s">
        <v>84</v>
      </c>
      <c r="B199" s="7">
        <f t="shared" si="58"/>
        <v>15</v>
      </c>
      <c r="C199" s="10">
        <f t="shared" si="59"/>
        <v>0.3947368421</v>
      </c>
    </row>
    <row r="200">
      <c r="A200" s="5" t="s">
        <v>134</v>
      </c>
      <c r="B200" s="7">
        <f t="shared" si="58"/>
        <v>3</v>
      </c>
      <c r="C200" s="10">
        <f t="shared" si="59"/>
        <v>0.07894736842</v>
      </c>
    </row>
    <row r="201">
      <c r="A201" s="5" t="s">
        <v>118</v>
      </c>
      <c r="B201" s="7">
        <f t="shared" si="58"/>
        <v>4</v>
      </c>
      <c r="C201" s="10">
        <f t="shared" si="59"/>
        <v>0.1052631579</v>
      </c>
    </row>
    <row r="202">
      <c r="A202" s="14" t="s">
        <v>55</v>
      </c>
      <c r="B202" s="7">
        <f t="shared" ref="B202:C202" si="60">SUM(B197:B201)</f>
        <v>38</v>
      </c>
      <c r="C202" s="10">
        <f t="shared" si="60"/>
        <v>1</v>
      </c>
    </row>
    <row r="204">
      <c r="A204" s="1" t="s">
        <v>189</v>
      </c>
    </row>
    <row r="205">
      <c r="A205" s="13" t="s">
        <v>40</v>
      </c>
      <c r="B205" s="13" t="s">
        <v>42</v>
      </c>
      <c r="C205" s="13" t="s">
        <v>43</v>
      </c>
    </row>
    <row r="206">
      <c r="A206" s="5" t="s">
        <v>86</v>
      </c>
      <c r="B206" s="7">
        <f t="shared" ref="B206:B208" si="61">COUNTIF(INDIRECT("'Respuestas de formulario 1'!V2:V"), "*"&amp;$A206&amp;"*")</f>
        <v>32</v>
      </c>
      <c r="C206" s="10">
        <f t="shared" ref="C206:C208" si="62">IFERROR($B206/COUNTA(INDIRECT("'Respuestas de formulario 1'!V2:V")), 0)</f>
        <v>0.8421052632</v>
      </c>
    </row>
    <row r="207">
      <c r="A207" s="5" t="s">
        <v>119</v>
      </c>
      <c r="B207" s="7">
        <f t="shared" si="61"/>
        <v>18</v>
      </c>
      <c r="C207" s="10">
        <f t="shared" si="62"/>
        <v>0.4736842105</v>
      </c>
    </row>
    <row r="208">
      <c r="A208" s="5" t="s">
        <v>191</v>
      </c>
      <c r="B208" s="7">
        <f t="shared" si="61"/>
        <v>8</v>
      </c>
      <c r="C208" s="10">
        <f t="shared" si="62"/>
        <v>0.2105263158</v>
      </c>
    </row>
    <row r="209">
      <c r="A209" s="14" t="s">
        <v>96</v>
      </c>
      <c r="B209" s="7">
        <f t="shared" ref="B209:C209" si="63">SUM(B206:B208)</f>
        <v>58</v>
      </c>
      <c r="C209" s="10">
        <f t="shared" si="63"/>
        <v>1.526315789</v>
      </c>
    </row>
    <row r="211">
      <c r="A211" s="1" t="s">
        <v>192</v>
      </c>
    </row>
    <row r="212">
      <c r="A212" s="13" t="s">
        <v>40</v>
      </c>
      <c r="B212" s="13" t="s">
        <v>42</v>
      </c>
      <c r="C212" s="13" t="s">
        <v>43</v>
      </c>
    </row>
    <row r="213">
      <c r="A213" s="5" t="s">
        <v>193</v>
      </c>
      <c r="B213" s="7">
        <f t="shared" ref="B213:B218" si="64">COUNTIF(INDIRECT("'Respuestas de formulario 1'!W2:W"), $A213)</f>
        <v>1</v>
      </c>
      <c r="C213" s="10">
        <f t="shared" ref="C213:C218" si="65">IFERROR($B213/COUNTA(INDIRECT("'Respuestas de formulario 1'!W2:W")), 0)</f>
        <v>0.02631578947</v>
      </c>
    </row>
    <row r="214">
      <c r="A214" s="5" t="s">
        <v>88</v>
      </c>
      <c r="B214" s="7">
        <f t="shared" si="64"/>
        <v>29</v>
      </c>
      <c r="C214" s="10">
        <f t="shared" si="65"/>
        <v>0.7631578947</v>
      </c>
    </row>
    <row r="215">
      <c r="A215" s="5" t="s">
        <v>120</v>
      </c>
      <c r="B215" s="7">
        <f t="shared" si="64"/>
        <v>7</v>
      </c>
      <c r="C215" s="10">
        <f t="shared" si="65"/>
        <v>0.1842105263</v>
      </c>
    </row>
    <row r="216">
      <c r="A216" s="5" t="s">
        <v>194</v>
      </c>
      <c r="B216" s="7">
        <f t="shared" si="64"/>
        <v>0</v>
      </c>
      <c r="C216" s="10">
        <f t="shared" si="65"/>
        <v>0</v>
      </c>
    </row>
    <row r="217">
      <c r="A217" s="5" t="s">
        <v>174</v>
      </c>
      <c r="B217" s="7">
        <f t="shared" si="64"/>
        <v>1</v>
      </c>
      <c r="C217" s="10">
        <f t="shared" si="65"/>
        <v>0.02631578947</v>
      </c>
    </row>
    <row r="218">
      <c r="A218" s="5" t="s">
        <v>196</v>
      </c>
      <c r="B218" s="7">
        <f t="shared" si="64"/>
        <v>0</v>
      </c>
      <c r="C218" s="10">
        <f t="shared" si="65"/>
        <v>0</v>
      </c>
    </row>
    <row r="219">
      <c r="A219" s="14" t="s">
        <v>55</v>
      </c>
      <c r="B219" s="7">
        <f t="shared" ref="B219:C219" si="66">SUM(B213:B218)</f>
        <v>38</v>
      </c>
      <c r="C219" s="10">
        <f t="shared" si="66"/>
        <v>1</v>
      </c>
    </row>
    <row r="221">
      <c r="A221" s="1" t="s">
        <v>198</v>
      </c>
    </row>
    <row r="222">
      <c r="A222" s="13" t="s">
        <v>40</v>
      </c>
      <c r="B222" s="13" t="s">
        <v>42</v>
      </c>
      <c r="C222" s="13" t="s">
        <v>43</v>
      </c>
    </row>
    <row r="223">
      <c r="A223" s="5" t="s">
        <v>144</v>
      </c>
      <c r="B223" s="7">
        <f t="shared" ref="B223:B226" si="67">COUNTIF(INDIRECT("'Respuestas de formulario 1'!X2:X"), $A223)</f>
        <v>19</v>
      </c>
      <c r="C223" s="10">
        <f t="shared" ref="C223:C226" si="68">IFERROR($B223/COUNTA(INDIRECT("'Respuestas de formulario 1'!X2:X")), 0)</f>
        <v>0.5</v>
      </c>
    </row>
    <row r="224">
      <c r="A224" s="5" t="s">
        <v>109</v>
      </c>
      <c r="B224" s="7">
        <f t="shared" si="67"/>
        <v>6</v>
      </c>
      <c r="C224" s="10">
        <f t="shared" si="68"/>
        <v>0.1578947368</v>
      </c>
    </row>
    <row r="225">
      <c r="A225" s="5" t="s">
        <v>89</v>
      </c>
      <c r="B225" s="7">
        <f t="shared" si="67"/>
        <v>10</v>
      </c>
      <c r="C225" s="10">
        <f t="shared" si="68"/>
        <v>0.2631578947</v>
      </c>
    </row>
    <row r="226">
      <c r="A226" s="5" t="s">
        <v>162</v>
      </c>
      <c r="B226" s="7">
        <f t="shared" si="67"/>
        <v>3</v>
      </c>
      <c r="C226" s="10">
        <f t="shared" si="68"/>
        <v>0.07894736842</v>
      </c>
    </row>
    <row r="227">
      <c r="A227" s="14" t="s">
        <v>55</v>
      </c>
      <c r="B227" s="7">
        <f t="shared" ref="B227:C227" si="69">SUM(B223:B226)</f>
        <v>38</v>
      </c>
      <c r="C227" s="10">
        <f t="shared" si="69"/>
        <v>1</v>
      </c>
    </row>
    <row r="229">
      <c r="A229" s="22" t="s">
        <v>200</v>
      </c>
    </row>
    <row r="231">
      <c r="A231" s="1" t="s">
        <v>201</v>
      </c>
    </row>
    <row r="232">
      <c r="A232" s="13" t="s">
        <v>202</v>
      </c>
      <c r="B232" s="13" t="s">
        <v>75</v>
      </c>
      <c r="C232" s="13" t="s">
        <v>123</v>
      </c>
      <c r="D232" s="13" t="s">
        <v>100</v>
      </c>
      <c r="E232" s="13" t="s">
        <v>139</v>
      </c>
      <c r="F232" s="1" t="s">
        <v>55</v>
      </c>
    </row>
    <row r="233">
      <c r="A233" s="1" t="s">
        <v>63</v>
      </c>
      <c r="B233" s="7">
        <f t="shared" ref="B233:E233" si="70">COUNTIFS(INDIRECT("'Respuestas de formulario 1'!C2:C"), $A233, INDIRECT("'Respuestas de formulario 1'!J2:J"), B$232)</f>
        <v>7</v>
      </c>
      <c r="C233" s="7">
        <f t="shared" si="70"/>
        <v>5</v>
      </c>
      <c r="D233" s="7">
        <f t="shared" si="70"/>
        <v>10</v>
      </c>
      <c r="E233" s="7">
        <f t="shared" si="70"/>
        <v>1</v>
      </c>
      <c r="F233" s="7">
        <f t="shared" ref="F233:F237" si="72">SUM(B233:E233)</f>
        <v>23</v>
      </c>
    </row>
    <row r="234">
      <c r="A234" s="1" t="s">
        <v>66</v>
      </c>
      <c r="B234" s="7">
        <f t="shared" ref="B234:E234" si="71">COUNTIFS(INDIRECT("'Respuestas de formulario 1'!C2:C"), $A234, INDIRECT("'Respuestas de formulario 1'!J2:J"), B$232)</f>
        <v>3</v>
      </c>
      <c r="C234" s="7">
        <f t="shared" si="71"/>
        <v>5</v>
      </c>
      <c r="D234" s="7">
        <f t="shared" si="71"/>
        <v>0</v>
      </c>
      <c r="E234" s="7">
        <f t="shared" si="71"/>
        <v>1</v>
      </c>
      <c r="F234" s="7">
        <f t="shared" si="72"/>
        <v>9</v>
      </c>
    </row>
    <row r="235">
      <c r="A235" s="1" t="s">
        <v>67</v>
      </c>
      <c r="B235" s="7">
        <f t="shared" ref="B235:E235" si="73">COUNTIFS(INDIRECT("'Respuestas de formulario 1'!C2:C"), $A235, INDIRECT("'Respuestas de formulario 1'!J2:J"), B$232)</f>
        <v>3</v>
      </c>
      <c r="C235" s="7">
        <f t="shared" si="73"/>
        <v>2</v>
      </c>
      <c r="D235" s="7">
        <f t="shared" si="73"/>
        <v>0</v>
      </c>
      <c r="E235" s="7">
        <f t="shared" si="73"/>
        <v>0</v>
      </c>
      <c r="F235" s="7">
        <f t="shared" si="72"/>
        <v>5</v>
      </c>
    </row>
    <row r="236">
      <c r="A236" s="1" t="s">
        <v>68</v>
      </c>
      <c r="B236" s="7">
        <f t="shared" ref="B236:E236" si="74">COUNTIFS(INDIRECT("'Respuestas de formulario 1'!C2:C"), $A236, INDIRECT("'Respuestas de formulario 1'!J2:J"), B$232)</f>
        <v>1</v>
      </c>
      <c r="C236" s="7">
        <f t="shared" si="74"/>
        <v>0</v>
      </c>
      <c r="D236" s="7">
        <f t="shared" si="74"/>
        <v>0</v>
      </c>
      <c r="E236" s="7">
        <f t="shared" si="74"/>
        <v>0</v>
      </c>
      <c r="F236" s="7">
        <f t="shared" si="72"/>
        <v>1</v>
      </c>
    </row>
    <row r="237">
      <c r="A237" s="1" t="s">
        <v>70</v>
      </c>
      <c r="B237" s="7">
        <f t="shared" ref="B237:E237" si="75">COUNTIFS(INDIRECT("'Respuestas de formulario 1'!C2:C"), $A237, INDIRECT("'Respuestas de formulario 1'!J2:J"), B$232)</f>
        <v>0</v>
      </c>
      <c r="C237" s="7">
        <f t="shared" si="75"/>
        <v>0</v>
      </c>
      <c r="D237" s="7">
        <f t="shared" si="75"/>
        <v>0</v>
      </c>
      <c r="E237" s="7">
        <f t="shared" si="75"/>
        <v>0</v>
      </c>
      <c r="F237" s="7">
        <f t="shared" si="72"/>
        <v>0</v>
      </c>
    </row>
    <row r="238">
      <c r="A238" s="1" t="s">
        <v>55</v>
      </c>
      <c r="B238" s="7">
        <f t="shared" ref="B238:F238" si="76">SUM(B233:B237)</f>
        <v>14</v>
      </c>
      <c r="C238" s="7">
        <f t="shared" si="76"/>
        <v>12</v>
      </c>
      <c r="D238" s="7">
        <f t="shared" si="76"/>
        <v>10</v>
      </c>
      <c r="E238" s="7">
        <f t="shared" si="76"/>
        <v>2</v>
      </c>
      <c r="F238" s="7">
        <f t="shared" si="76"/>
        <v>38</v>
      </c>
    </row>
    <row r="240">
      <c r="A240" s="1" t="s">
        <v>207</v>
      </c>
    </row>
    <row r="241">
      <c r="A241" s="13" t="s">
        <v>202</v>
      </c>
      <c r="B241" s="13" t="s">
        <v>75</v>
      </c>
      <c r="C241" s="13" t="s">
        <v>123</v>
      </c>
      <c r="D241" s="13" t="s">
        <v>100</v>
      </c>
      <c r="E241" s="13" t="s">
        <v>139</v>
      </c>
    </row>
    <row r="242">
      <c r="A242" s="1" t="s">
        <v>63</v>
      </c>
      <c r="B242" s="21">
        <f t="shared" ref="B242:E242" si="77">IFERROR($F233*B$238/$F$238, 0)</f>
        <v>8.473684211</v>
      </c>
      <c r="C242" s="21">
        <f t="shared" si="77"/>
        <v>7.263157895</v>
      </c>
      <c r="D242" s="21">
        <f t="shared" si="77"/>
        <v>6.052631579</v>
      </c>
      <c r="E242" s="21">
        <f t="shared" si="77"/>
        <v>1.210526316</v>
      </c>
    </row>
    <row r="243">
      <c r="A243" s="1" t="s">
        <v>66</v>
      </c>
      <c r="B243" s="21">
        <f t="shared" ref="B243:E243" si="78">IFERROR($F234*B$238/$F$238, 0)</f>
        <v>3.315789474</v>
      </c>
      <c r="C243" s="21">
        <f t="shared" si="78"/>
        <v>2.842105263</v>
      </c>
      <c r="D243" s="21">
        <f t="shared" si="78"/>
        <v>2.368421053</v>
      </c>
      <c r="E243" s="21">
        <f t="shared" si="78"/>
        <v>0.4736842105</v>
      </c>
    </row>
    <row r="244">
      <c r="A244" s="1" t="s">
        <v>67</v>
      </c>
      <c r="B244" s="21">
        <f t="shared" ref="B244:E244" si="79">IFERROR($F235*B$238/$F$238, 0)</f>
        <v>1.842105263</v>
      </c>
      <c r="C244" s="21">
        <f t="shared" si="79"/>
        <v>1.578947368</v>
      </c>
      <c r="D244" s="21">
        <f t="shared" si="79"/>
        <v>1.315789474</v>
      </c>
      <c r="E244" s="21">
        <f t="shared" si="79"/>
        <v>0.2631578947</v>
      </c>
    </row>
    <row r="245">
      <c r="A245" s="1" t="s">
        <v>68</v>
      </c>
      <c r="B245" s="21">
        <f t="shared" ref="B245:E245" si="80">IFERROR($F236*B$238/$F$238, 0)</f>
        <v>0.3684210526</v>
      </c>
      <c r="C245" s="21">
        <f t="shared" si="80"/>
        <v>0.3157894737</v>
      </c>
      <c r="D245" s="21">
        <f t="shared" si="80"/>
        <v>0.2631578947</v>
      </c>
      <c r="E245" s="21">
        <f t="shared" si="80"/>
        <v>0.05263157895</v>
      </c>
    </row>
    <row r="246">
      <c r="A246" s="1" t="s">
        <v>70</v>
      </c>
      <c r="B246" s="21">
        <f t="shared" ref="B246:E246" si="81">IFERROR($F237*B$238/$F$238, 0)</f>
        <v>0</v>
      </c>
      <c r="C246" s="21">
        <f t="shared" si="81"/>
        <v>0</v>
      </c>
      <c r="D246" s="21">
        <f t="shared" si="81"/>
        <v>0</v>
      </c>
      <c r="E246" s="21">
        <f t="shared" si="81"/>
        <v>0</v>
      </c>
    </row>
    <row r="248">
      <c r="A248" s="1" t="s">
        <v>210</v>
      </c>
      <c r="B248" s="23" t="str">
        <f>IFERROR(CHITEST(B233:E237,B242:E246), "")</f>
        <v/>
      </c>
    </row>
    <row r="249">
      <c r="A249" s="1" t="s">
        <v>211</v>
      </c>
      <c r="B249" s="7" t="str">
        <f>IF(B248="", "Faltan datos", IF(B248&lt;0.05, "Hay asociación estadísticamente significativa (p &lt; 0,05)", "No hay asociación significativa (p ≥ 0,05)"))</f>
        <v>Faltan datos</v>
      </c>
    </row>
    <row r="251">
      <c r="A251" s="8" t="s">
        <v>213</v>
      </c>
    </row>
    <row r="253">
      <c r="A253" s="1" t="s">
        <v>201</v>
      </c>
    </row>
    <row r="254">
      <c r="A254" s="13" t="s">
        <v>214</v>
      </c>
      <c r="B254" s="13" t="s">
        <v>215</v>
      </c>
      <c r="C254" s="13" t="s">
        <v>114</v>
      </c>
      <c r="D254" s="13" t="s">
        <v>55</v>
      </c>
    </row>
    <row r="255">
      <c r="A255" s="1" t="s">
        <v>63</v>
      </c>
      <c r="B255" s="7">
        <f t="array" ref="B255">COUNTIFS(INDIRECT("'Respuestas de formulario 1'!C2:C"), "1 o 2", INDIRECT("'Respuestas de formulario 1'!J2:J"), "Sí, varias veces")+COUNTIFS(INDIRECT("'Respuestas de formulario 1'!C2:C"), "1 o 2", INDIRECT("'Respuestas de formulario 1'!J2:J"), "Sí, una vez")</f>
        <v>12</v>
      </c>
      <c r="C255" s="7">
        <f t="array" ref="C255">COUNTIFS(INDIRECT("'Respuestas de formulario 1'!C2:C"), "1 o 2", INDIRECT("'Respuestas de formulario 1'!J2:J"), "No, nunca")</f>
        <v>10</v>
      </c>
      <c r="D255" s="7">
        <f t="shared" ref="D255:D256" si="82">B255+C255</f>
        <v>22</v>
      </c>
    </row>
    <row r="256">
      <c r="A256" s="1" t="s">
        <v>218</v>
      </c>
      <c r="B256" s="7">
        <f t="array" ref="B256">COUNTIFS(INDIRECT("'Respuestas de formulario 1'!C2:C"), "3 o 4", INDIRECT("'Respuestas de formulario 1'!J2:J"), "Sí, varias veces")+COUNTIFS(INDIRECT("'Respuestas de formulario 1'!C2:C"), "3 o 4", INDIRECT("'Respuestas de formulario 1'!J2:J"), "Sí, una vez")+COUNTIFS(INDIRECT("'Respuestas de formulario 1'!C2:C"), "5 o 6", INDIRECT("'Respuestas de formulario 1'!J2:J"), "Sí, varias veces")+COUNTIFS(INDIRECT("'Respuestas de formulario 1'!C2:C"), "5 o 6", INDIRECT("'Respuestas de formulario 1'!J2:J"), "Sí, una vez")+COUNTIFS(INDIRECT("'Respuestas de formulario 1'!C2:C"), "7 a 9", INDIRECT("'Respuestas de formulario 1'!J2:J"), "Sí, varias veces")+COUNTIFS(INDIRECT("'Respuestas de formulario 1'!C2:C"), "7 a 9", INDIRECT("'Respuestas de formulario 1'!J2:J"), "Sí, una vez")+COUNTIFS(INDIRECT("'Respuestas de formulario 1'!C2:C"), "10 o más", INDIRECT("'Respuestas de formulario 1'!J2:J"), "Sí, varias veces")+COUNTIFS(INDIRECT("'Respuestas de formulario 1'!C2:C"), "10 o más", INDIRECT("'Respuestas de formulario 1'!J2:J"), "Sí, una vez")</f>
        <v>14</v>
      </c>
      <c r="C256" s="7">
        <f t="array" ref="C256">COUNTIFS(INDIRECT("'Respuestas de formulario 1'!C2:C"), "3 o 4", INDIRECT("'Respuestas de formulario 1'!J2:J"), "No, nunca")+COUNTIFS(INDIRECT("'Respuestas de formulario 1'!C2:C"), "5 o 6", INDIRECT("'Respuestas de formulario 1'!J2:J"), "No, nunca")+COUNTIFS(INDIRECT("'Respuestas de formulario 1'!C2:C"), "7 a 9", INDIRECT("'Respuestas de formulario 1'!J2:J"), "No, nunca")+COUNTIFS(INDIRECT("'Respuestas de formulario 1'!C2:C"), "10 o más", INDIRECT("'Respuestas de formulario 1'!J2:J"), "No, nunca")</f>
        <v>0</v>
      </c>
      <c r="D256" s="7">
        <f t="shared" si="82"/>
        <v>14</v>
      </c>
    </row>
    <row r="257">
      <c r="A257" s="1" t="s">
        <v>55</v>
      </c>
      <c r="B257" s="7">
        <f t="shared" ref="B257:D257" si="83">B255+B256</f>
        <v>26</v>
      </c>
      <c r="C257" s="7">
        <f t="shared" si="83"/>
        <v>10</v>
      </c>
      <c r="D257" s="7">
        <f t="shared" si="83"/>
        <v>36</v>
      </c>
    </row>
    <row r="259">
      <c r="A259" s="1" t="s">
        <v>221</v>
      </c>
    </row>
    <row r="260">
      <c r="A260" s="5" t="s">
        <v>222</v>
      </c>
      <c r="B260" s="10">
        <f t="shared" ref="B260:B262" si="84">IFERROR(B255/D255, 0)</f>
        <v>0.5454545455</v>
      </c>
    </row>
    <row r="261">
      <c r="A261" s="5" t="s">
        <v>225</v>
      </c>
      <c r="B261" s="10">
        <f t="shared" si="84"/>
        <v>1</v>
      </c>
    </row>
    <row r="262">
      <c r="A262" s="5" t="s">
        <v>226</v>
      </c>
      <c r="B262" s="10">
        <f t="shared" si="84"/>
        <v>0.7222222222</v>
      </c>
    </row>
    <row r="264">
      <c r="A264" s="1" t="s">
        <v>207</v>
      </c>
    </row>
    <row r="265">
      <c r="A265" s="13" t="s">
        <v>214</v>
      </c>
      <c r="B265" s="13" t="s">
        <v>215</v>
      </c>
      <c r="C265" s="13" t="s">
        <v>114</v>
      </c>
    </row>
    <row r="266">
      <c r="A266" s="1" t="s">
        <v>63</v>
      </c>
      <c r="B266" s="21">
        <f t="shared" ref="B266:C266" si="85">IFERROR($D255*B$257/$D$257, 0)</f>
        <v>15.88888889</v>
      </c>
      <c r="C266" s="21">
        <f t="shared" si="85"/>
        <v>6.111111111</v>
      </c>
    </row>
    <row r="267">
      <c r="A267" s="1" t="s">
        <v>218</v>
      </c>
      <c r="B267" s="21">
        <f t="shared" ref="B267:C267" si="86">IFERROR($D256*B$257/$D$257, 0)</f>
        <v>10.11111111</v>
      </c>
      <c r="C267" s="21">
        <f t="shared" si="86"/>
        <v>3.888888889</v>
      </c>
    </row>
    <row r="269">
      <c r="A269" s="1" t="s">
        <v>210</v>
      </c>
      <c r="B269" s="23">
        <f>IFERROR(CHITEST(B255:C256,B266:C267), "")</f>
        <v>0.002993889046</v>
      </c>
    </row>
    <row r="270">
      <c r="A270" s="1" t="s">
        <v>211</v>
      </c>
      <c r="B270" s="7" t="str">
        <f>IF(B269="", "No se puede calcular: faltan datos", IF(B269&lt;0.05, "Asociación estadísticamente significativa (p &lt; 0,05): a más suscripciones, más desperdicio", "Sin asociación significativa (p &gt;= 0,05)"))</f>
        <v>Asociación estadísticamente significativa (p &lt; 0,05): a más suscripciones, más desperdicio</v>
      </c>
    </row>
    <row r="271">
      <c r="A271" s="1" t="s">
        <v>228</v>
      </c>
      <c r="B271" s="7">
        <f>COUNTIF(B266:C267, "&lt;5")</f>
        <v>1</v>
      </c>
    </row>
    <row r="272">
      <c r="A272" s="1" t="s">
        <v>230</v>
      </c>
      <c r="B272" s="7" t="str">
        <f>IF(B271=0, "Sí, todas las celdas esperadas superan 5", "Con reservas: hay celdas esperadas bajo 5. Declararlo en el informe o usar la prueba exacta de Fisher")</f>
        <v>Con reservas: hay celdas esperadas bajo 5. Declararlo en el informe o usar la prueba exacta de Fisher</v>
      </c>
    </row>
    <row r="274">
      <c r="A274" s="3" t="s">
        <v>231</v>
      </c>
    </row>
  </sheetData>
  <mergeCells count="6">
    <mergeCell ref="A6:C6"/>
    <mergeCell ref="A22:C22"/>
    <mergeCell ref="A229:F229"/>
    <mergeCell ref="A251:E251"/>
    <mergeCell ref="B270:E270"/>
    <mergeCell ref="B272:E27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13"/>
    <col customWidth="1" min="2" max="3" width="16.38"/>
  </cols>
  <sheetData>
    <row r="1">
      <c r="A1" s="24" t="s">
        <v>263</v>
      </c>
    </row>
    <row r="2">
      <c r="A2" s="3" t="s">
        <v>265</v>
      </c>
    </row>
    <row r="4">
      <c r="A4" s="25" t="s">
        <v>266</v>
      </c>
    </row>
    <row r="5">
      <c r="A5" s="13" t="s">
        <v>0</v>
      </c>
      <c r="B5" s="13" t="s">
        <v>1</v>
      </c>
      <c r="C5" s="13" t="s">
        <v>5</v>
      </c>
    </row>
    <row r="6">
      <c r="A6" s="5" t="s">
        <v>7</v>
      </c>
      <c r="B6" s="7">
        <f t="shared" ref="B6:B11" si="1">COUNTIF(INDIRECT("'Respuestas de formulario 1'!F2:F"), $A6)</f>
        <v>17</v>
      </c>
      <c r="C6" s="7">
        <f t="shared" ref="C6:C11" si="2">COUNTIF(INDIRECT("'Respuestas de formulario 1'!I2:I"), $A6)</f>
        <v>18</v>
      </c>
    </row>
    <row r="7">
      <c r="A7" s="5" t="s">
        <v>11</v>
      </c>
      <c r="B7" s="7">
        <f t="shared" si="1"/>
        <v>8</v>
      </c>
      <c r="C7" s="7">
        <f t="shared" si="2"/>
        <v>7</v>
      </c>
    </row>
    <row r="8">
      <c r="A8" s="5" t="s">
        <v>12</v>
      </c>
      <c r="B8" s="7">
        <f t="shared" si="1"/>
        <v>6</v>
      </c>
      <c r="C8" s="7">
        <f t="shared" si="2"/>
        <v>5</v>
      </c>
    </row>
    <row r="9">
      <c r="A9" s="5" t="s">
        <v>13</v>
      </c>
      <c r="B9" s="7">
        <f t="shared" si="1"/>
        <v>4</v>
      </c>
      <c r="C9" s="7">
        <f t="shared" si="2"/>
        <v>2</v>
      </c>
    </row>
    <row r="10">
      <c r="A10" s="5" t="s">
        <v>14</v>
      </c>
      <c r="B10" s="7">
        <f t="shared" si="1"/>
        <v>3</v>
      </c>
      <c r="C10" s="7">
        <f t="shared" si="2"/>
        <v>3</v>
      </c>
    </row>
    <row r="11">
      <c r="A11" s="5" t="s">
        <v>15</v>
      </c>
      <c r="B11" s="7">
        <f t="shared" si="1"/>
        <v>0</v>
      </c>
      <c r="C11" s="7">
        <f t="shared" si="2"/>
        <v>1</v>
      </c>
    </row>
    <row r="14">
      <c r="A14" s="25" t="s">
        <v>268</v>
      </c>
    </row>
    <row r="15">
      <c r="A15" s="13" t="s">
        <v>214</v>
      </c>
      <c r="B15" s="13" t="s">
        <v>215</v>
      </c>
      <c r="C15" s="13" t="s">
        <v>269</v>
      </c>
    </row>
    <row r="16">
      <c r="A16" s="5" t="s">
        <v>63</v>
      </c>
      <c r="B16" s="7">
        <f t="array" ref="B16">COUNTIFS(INDIRECT("'Respuestas de formulario 1'!C2:C"), "1 o 2", INDIRECT("'Respuestas de formulario 1'!J2:J"), "Sí, varias veces")+COUNTIFS(INDIRECT("'Respuestas de formulario 1'!C2:C"), "1 o 2", INDIRECT("'Respuestas de formulario 1'!J2:J"), "Sí, una vez")</f>
        <v>12</v>
      </c>
      <c r="C16" s="7">
        <f t="array" ref="C16">COUNTIFS(INDIRECT("'Respuestas de formulario 1'!C2:C"), "1 o 2", INDIRECT("'Respuestas de formulario 1'!J2:J"), "No, nunca")</f>
        <v>10</v>
      </c>
    </row>
    <row r="17">
      <c r="A17" s="5" t="s">
        <v>218</v>
      </c>
      <c r="B17" s="7">
        <f t="array" ref="B17">COUNTIFS(INDIRECT("'Respuestas de formulario 1'!C2:C"), "3 o 4", INDIRECT("'Respuestas de formulario 1'!J2:J"), "Sí, varias veces")+COUNTIFS(INDIRECT("'Respuestas de formulario 1'!C2:C"), "3 o 4", INDIRECT("'Respuestas de formulario 1'!J2:J"), "Sí, una vez")+COUNTIFS(INDIRECT("'Respuestas de formulario 1'!C2:C"), "5 o 6", INDIRECT("'Respuestas de formulario 1'!J2:J"), "Sí, varias veces")+COUNTIFS(INDIRECT("'Respuestas de formulario 1'!C2:C"), "5 o 6", INDIRECT("'Respuestas de formulario 1'!J2:J"), "Sí, una vez")+COUNTIFS(INDIRECT("'Respuestas de formulario 1'!C2:C"), "7 a 9", INDIRECT("'Respuestas de formulario 1'!J2:J"), "Sí, varias veces")+COUNTIFS(INDIRECT("'Respuestas de formulario 1'!C2:C"), "7 a 9", INDIRECT("'Respuestas de formulario 1'!J2:J"), "Sí, una vez")+COUNTIFS(INDIRECT("'Respuestas de formulario 1'!C2:C"), "10 o más", INDIRECT("'Respuestas de formulario 1'!J2:J"), "Sí, varias veces")+COUNTIFS(INDIRECT("'Respuestas de formulario 1'!C2:C"), "10 o más", INDIRECT("'Respuestas de formulario 1'!J2:J"), "Sí, una vez")</f>
        <v>14</v>
      </c>
      <c r="C17" s="7">
        <f t="array" ref="C17">COUNTIFS(INDIRECT("'Respuestas de formulario 1'!C2:C"), "3 o 4", INDIRECT("'Respuestas de formulario 1'!J2:J"), "No, nunca")+COUNTIFS(INDIRECT("'Respuestas de formulario 1'!C2:C"), "5 o 6", INDIRECT("'Respuestas de formulario 1'!J2:J"), "No, nunca")+COUNTIFS(INDIRECT("'Respuestas de formulario 1'!C2:C"), "7 a 9", INDIRECT("'Respuestas de formulario 1'!J2:J"), "No, nunca")+COUNTIFS(INDIRECT("'Respuestas de formulario 1'!C2:C"), "10 o más", INDIRECT("'Respuestas de formulario 1'!J2:J"), "No, nunca")</f>
        <v>0</v>
      </c>
    </row>
  </sheetData>
  <drawing r:id="rId1"/>
</worksheet>
</file>